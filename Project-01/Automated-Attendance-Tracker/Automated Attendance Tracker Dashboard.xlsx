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ata Analyst\PROJECT\Automated Attendance Tracker Dashboard\"/>
    </mc:Choice>
  </mc:AlternateContent>
  <xr:revisionPtr revIDLastSave="0" documentId="13_ncr:1_{AB4B1787-063F-4A76-9A5C-0A28C78F63B7}" xr6:coauthVersionLast="47" xr6:coauthVersionMax="47" xr10:uidLastSave="{00000000-0000-0000-0000-000000000000}"/>
  <bookViews>
    <workbookView xWindow="-120" yWindow="-120" windowWidth="20730" windowHeight="11040" xr2:uid="{A970D181-1B1D-4343-8FE7-BC78239939CC}"/>
  </bookViews>
  <sheets>
    <sheet name="Sheet1" sheetId="1" r:id="rId1"/>
    <sheet name="Jan" sheetId="2" r:id="rId2"/>
    <sheet name="Feb" sheetId="4" r:id="rId3"/>
    <sheet name="Mar" sheetId="5" r:id="rId4"/>
    <sheet name="April" sheetId="6" r:id="rId5"/>
    <sheet name="May" sheetId="7" r:id="rId6"/>
    <sheet name="Jun" sheetId="8" r:id="rId7"/>
    <sheet name="July" sheetId="9" r:id="rId8"/>
    <sheet name="Aug" sheetId="10" r:id="rId9"/>
    <sheet name="Sep" sheetId="11" r:id="rId10"/>
    <sheet name="Oct" sheetId="12" r:id="rId11"/>
    <sheet name="Nov" sheetId="13" r:id="rId12"/>
    <sheet name="Dec" sheetId="14" r:id="rId13"/>
    <sheet name="Rough" sheetId="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" i="6" l="1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J7" i="6"/>
  <c r="J6" i="6" s="1"/>
  <c r="K4" i="6"/>
  <c r="H4" i="6" s="1"/>
  <c r="I4" i="6"/>
  <c r="AU8" i="5"/>
  <c r="AW8" i="5"/>
  <c r="AX8" i="5"/>
  <c r="BB8" i="5" s="1"/>
  <c r="AY8" i="5"/>
  <c r="AZ8" i="5"/>
  <c r="BA8" i="5"/>
  <c r="AU9" i="5"/>
  <c r="AW9" i="5"/>
  <c r="AX9" i="5"/>
  <c r="BB9" i="5" s="1"/>
  <c r="AY9" i="5"/>
  <c r="AZ9" i="5"/>
  <c r="BA9" i="5"/>
  <c r="AU10" i="5"/>
  <c r="AW10" i="5"/>
  <c r="AX10" i="5"/>
  <c r="BB10" i="5" s="1"/>
  <c r="AY10" i="5"/>
  <c r="AZ10" i="5"/>
  <c r="BA10" i="5"/>
  <c r="AU11" i="5"/>
  <c r="AW11" i="5"/>
  <c r="AX11" i="5"/>
  <c r="BB11" i="5" s="1"/>
  <c r="AY11" i="5"/>
  <c r="AZ11" i="5"/>
  <c r="BA11" i="5"/>
  <c r="AU12" i="5"/>
  <c r="AW12" i="5"/>
  <c r="AX12" i="5"/>
  <c r="BB12" i="5" s="1"/>
  <c r="AY12" i="5"/>
  <c r="AZ12" i="5"/>
  <c r="BA12" i="5"/>
  <c r="AU13" i="5"/>
  <c r="AW13" i="5"/>
  <c r="AX13" i="5"/>
  <c r="BB13" i="5" s="1"/>
  <c r="AY13" i="5"/>
  <c r="AZ13" i="5"/>
  <c r="BA13" i="5"/>
  <c r="AL16" i="4"/>
  <c r="AM16" i="4"/>
  <c r="AL17" i="4"/>
  <c r="AM17" i="4"/>
  <c r="AL18" i="4"/>
  <c r="AM18" i="4"/>
  <c r="AL19" i="4"/>
  <c r="AM19" i="4"/>
  <c r="AL20" i="4"/>
  <c r="AM20" i="4"/>
  <c r="AL21" i="4"/>
  <c r="AM21" i="4"/>
  <c r="AL22" i="4"/>
  <c r="AM22" i="4"/>
  <c r="AL23" i="4"/>
  <c r="AM23" i="4"/>
  <c r="AL24" i="4"/>
  <c r="AM24" i="4"/>
  <c r="J7" i="14"/>
  <c r="K4" i="14"/>
  <c r="H4" i="14" s="1"/>
  <c r="I4" i="14"/>
  <c r="AU17" i="14" s="1"/>
  <c r="J7" i="13"/>
  <c r="J6" i="13" s="1"/>
  <c r="K4" i="13"/>
  <c r="I4" i="13"/>
  <c r="AU8" i="13" s="1"/>
  <c r="J7" i="12"/>
  <c r="K4" i="12"/>
  <c r="H4" i="12" s="1"/>
  <c r="I4" i="12"/>
  <c r="AU13" i="12" s="1"/>
  <c r="J7" i="11"/>
  <c r="K4" i="11"/>
  <c r="H4" i="11" s="1"/>
  <c r="BA8" i="11" s="1"/>
  <c r="I4" i="11"/>
  <c r="AU10" i="11" s="1"/>
  <c r="J7" i="10"/>
  <c r="K4" i="10"/>
  <c r="H4" i="10" s="1"/>
  <c r="I4" i="10"/>
  <c r="AU17" i="10" s="1"/>
  <c r="J7" i="9"/>
  <c r="J6" i="9" s="1"/>
  <c r="K4" i="9"/>
  <c r="H4" i="9" s="1"/>
  <c r="I4" i="9"/>
  <c r="J7" i="8"/>
  <c r="J6" i="8" s="1"/>
  <c r="K4" i="8"/>
  <c r="H4" i="8" s="1"/>
  <c r="I4" i="8"/>
  <c r="AU8" i="8" s="1"/>
  <c r="J7" i="7"/>
  <c r="J6" i="7" s="1"/>
  <c r="K4" i="7"/>
  <c r="K7" i="7" s="1"/>
  <c r="I4" i="7"/>
  <c r="AU17" i="7" s="1"/>
  <c r="J7" i="5"/>
  <c r="J6" i="5" s="1"/>
  <c r="K4" i="5"/>
  <c r="H4" i="5" s="1"/>
  <c r="I4" i="5"/>
  <c r="J7" i="4"/>
  <c r="J6" i="4"/>
  <c r="K4" i="4"/>
  <c r="K7" i="4" s="1"/>
  <c r="I4" i="4"/>
  <c r="I4" i="2"/>
  <c r="AU10" i="2" s="1"/>
  <c r="K4" i="2"/>
  <c r="H4" i="2" s="1"/>
  <c r="BA15" i="2" s="1"/>
  <c r="BD15" i="2" s="1"/>
  <c r="J7" i="2"/>
  <c r="J6" i="2" s="1"/>
  <c r="K7" i="14" l="1"/>
  <c r="AU12" i="14"/>
  <c r="K7" i="13"/>
  <c r="K7" i="12"/>
  <c r="L7" i="12" s="1"/>
  <c r="BA13" i="12"/>
  <c r="BA9" i="12"/>
  <c r="BD9" i="12" s="1"/>
  <c r="J6" i="12"/>
  <c r="K7" i="11"/>
  <c r="K7" i="10"/>
  <c r="L7" i="10" s="1"/>
  <c r="J6" i="10"/>
  <c r="K7" i="9"/>
  <c r="AU24" i="6"/>
  <c r="AU20" i="6"/>
  <c r="AU16" i="6"/>
  <c r="AU12" i="6"/>
  <c r="AU23" i="6"/>
  <c r="AU19" i="6"/>
  <c r="AU22" i="6"/>
  <c r="AU18" i="6"/>
  <c r="AU8" i="6"/>
  <c r="K7" i="6"/>
  <c r="AU17" i="6"/>
  <c r="AU9" i="6"/>
  <c r="AU10" i="6"/>
  <c r="AU13" i="6"/>
  <c r="AU14" i="6"/>
  <c r="AU15" i="6"/>
  <c r="BA22" i="6"/>
  <c r="BA18" i="6"/>
  <c r="BA14" i="6"/>
  <c r="BA21" i="6"/>
  <c r="BA17" i="6"/>
  <c r="BA13" i="6"/>
  <c r="BA9" i="6"/>
  <c r="BA24" i="6"/>
  <c r="BA20" i="6"/>
  <c r="BA16" i="6"/>
  <c r="BA12" i="6"/>
  <c r="BA23" i="6"/>
  <c r="BA19" i="6"/>
  <c r="BA15" i="6"/>
  <c r="BA11" i="6"/>
  <c r="BA8" i="6"/>
  <c r="AU11" i="6"/>
  <c r="BA10" i="6"/>
  <c r="AU21" i="6"/>
  <c r="BA22" i="14"/>
  <c r="BA18" i="14"/>
  <c r="BA14" i="14"/>
  <c r="BA10" i="14"/>
  <c r="BA21" i="14"/>
  <c r="BA17" i="14"/>
  <c r="BA13" i="14"/>
  <c r="BA9" i="14"/>
  <c r="BA24" i="14"/>
  <c r="BA20" i="14"/>
  <c r="BA23" i="14"/>
  <c r="BA19" i="14"/>
  <c r="BA15" i="14"/>
  <c r="BA11" i="14"/>
  <c r="BA12" i="14"/>
  <c r="BA16" i="14"/>
  <c r="BA8" i="14"/>
  <c r="K6" i="14"/>
  <c r="L7" i="14"/>
  <c r="AU13" i="14"/>
  <c r="AU21" i="14"/>
  <c r="AU16" i="14"/>
  <c r="AU24" i="14"/>
  <c r="AU20" i="14"/>
  <c r="AU23" i="14"/>
  <c r="AU19" i="14"/>
  <c r="AU15" i="14"/>
  <c r="AU11" i="14"/>
  <c r="AU22" i="14"/>
  <c r="AU18" i="14"/>
  <c r="AU14" i="14"/>
  <c r="AU10" i="14"/>
  <c r="AU9" i="14"/>
  <c r="AU8" i="14"/>
  <c r="J6" i="14"/>
  <c r="L7" i="13"/>
  <c r="K6" i="13"/>
  <c r="J24" i="13"/>
  <c r="J20" i="13"/>
  <c r="J16" i="13"/>
  <c r="J12" i="13"/>
  <c r="J23" i="13"/>
  <c r="J19" i="13"/>
  <c r="J15" i="13"/>
  <c r="J22" i="13"/>
  <c r="J18" i="13"/>
  <c r="J14" i="13"/>
  <c r="J10" i="13"/>
  <c r="J21" i="13"/>
  <c r="J17" i="13"/>
  <c r="J13" i="13"/>
  <c r="J8" i="13"/>
  <c r="J9" i="13"/>
  <c r="AU17" i="13"/>
  <c r="AU13" i="13"/>
  <c r="H4" i="13"/>
  <c r="AU12" i="13"/>
  <c r="J11" i="13"/>
  <c r="AU24" i="13"/>
  <c r="AU20" i="13"/>
  <c r="AU16" i="13"/>
  <c r="AU23" i="13"/>
  <c r="AU19" i="13"/>
  <c r="AU15" i="13"/>
  <c r="AU11" i="13"/>
  <c r="AU22" i="13"/>
  <c r="AU18" i="13"/>
  <c r="AU14" i="13"/>
  <c r="AU10" i="13"/>
  <c r="AU9" i="13"/>
  <c r="AU21" i="13"/>
  <c r="M7" i="12"/>
  <c r="L6" i="12"/>
  <c r="K6" i="12"/>
  <c r="BD13" i="12"/>
  <c r="AU16" i="12"/>
  <c r="AU17" i="12"/>
  <c r="BA8" i="12"/>
  <c r="AU12" i="12"/>
  <c r="AU24" i="12"/>
  <c r="AU20" i="12"/>
  <c r="AU23" i="12"/>
  <c r="AU19" i="12"/>
  <c r="AU15" i="12"/>
  <c r="AU11" i="12"/>
  <c r="AU22" i="12"/>
  <c r="AU18" i="12"/>
  <c r="AU14" i="12"/>
  <c r="AU10" i="12"/>
  <c r="BA22" i="12"/>
  <c r="BA18" i="12"/>
  <c r="BA14" i="12"/>
  <c r="BA10" i="12"/>
  <c r="BA21" i="12"/>
  <c r="BA17" i="12"/>
  <c r="BA24" i="12"/>
  <c r="BA20" i="12"/>
  <c r="BA16" i="12"/>
  <c r="BA12" i="12"/>
  <c r="BA23" i="12"/>
  <c r="BA19" i="12"/>
  <c r="BA15" i="12"/>
  <c r="BA11" i="12"/>
  <c r="AU8" i="12"/>
  <c r="AU9" i="12"/>
  <c r="AU21" i="12"/>
  <c r="L7" i="11"/>
  <c r="K6" i="11"/>
  <c r="BD8" i="11"/>
  <c r="AU8" i="11"/>
  <c r="J6" i="11"/>
  <c r="AU24" i="11"/>
  <c r="AU20" i="11"/>
  <c r="AU23" i="11"/>
  <c r="AU19" i="11"/>
  <c r="AU15" i="11"/>
  <c r="AU11" i="11"/>
  <c r="AU22" i="11"/>
  <c r="AU18" i="11"/>
  <c r="AU21" i="11"/>
  <c r="AU17" i="11"/>
  <c r="AU12" i="11"/>
  <c r="AU13" i="11"/>
  <c r="AU14" i="11"/>
  <c r="AU16" i="11"/>
  <c r="BA22" i="11"/>
  <c r="BA18" i="11"/>
  <c r="BA14" i="11"/>
  <c r="BA10" i="11"/>
  <c r="BA21" i="11"/>
  <c r="BA17" i="11"/>
  <c r="BA13" i="11"/>
  <c r="BA9" i="11"/>
  <c r="BA24" i="11"/>
  <c r="BA20" i="11"/>
  <c r="BA16" i="11"/>
  <c r="BA12" i="11"/>
  <c r="BA23" i="11"/>
  <c r="BA19" i="11"/>
  <c r="BA15" i="11"/>
  <c r="BA11" i="11"/>
  <c r="AU9" i="11"/>
  <c r="BA22" i="10"/>
  <c r="BA18" i="10"/>
  <c r="BA14" i="10"/>
  <c r="BA10" i="10"/>
  <c r="BA21" i="10"/>
  <c r="BA17" i="10"/>
  <c r="BA24" i="10"/>
  <c r="BA20" i="10"/>
  <c r="BA16" i="10"/>
  <c r="BA12" i="10"/>
  <c r="BA23" i="10"/>
  <c r="BA19" i="10"/>
  <c r="BA15" i="10"/>
  <c r="BA11" i="10"/>
  <c r="BA8" i="10"/>
  <c r="BA9" i="10"/>
  <c r="BA13" i="10"/>
  <c r="K6" i="10"/>
  <c r="AU8" i="10"/>
  <c r="AU12" i="10"/>
  <c r="AU13" i="10"/>
  <c r="AU24" i="10"/>
  <c r="AU20" i="10"/>
  <c r="AU16" i="10"/>
  <c r="AU23" i="10"/>
  <c r="AU19" i="10"/>
  <c r="AU15" i="10"/>
  <c r="AU11" i="10"/>
  <c r="AU22" i="10"/>
  <c r="AU18" i="10"/>
  <c r="AU14" i="10"/>
  <c r="AU10" i="10"/>
  <c r="AU9" i="10"/>
  <c r="AU21" i="10"/>
  <c r="L7" i="9"/>
  <c r="K6" i="9"/>
  <c r="AU24" i="9"/>
  <c r="AU20" i="9"/>
  <c r="AU16" i="9"/>
  <c r="AU12" i="9"/>
  <c r="AU23" i="9"/>
  <c r="AU19" i="9"/>
  <c r="AU15" i="9"/>
  <c r="AU11" i="9"/>
  <c r="AU22" i="9"/>
  <c r="AU18" i="9"/>
  <c r="AU14" i="9"/>
  <c r="AU10" i="9"/>
  <c r="AU8" i="9"/>
  <c r="AU9" i="9"/>
  <c r="AU17" i="9"/>
  <c r="BA22" i="9"/>
  <c r="BA18" i="9"/>
  <c r="BA14" i="9"/>
  <c r="BA10" i="9"/>
  <c r="BA21" i="9"/>
  <c r="BA17" i="9"/>
  <c r="BA13" i="9"/>
  <c r="BA24" i="9"/>
  <c r="BA20" i="9"/>
  <c r="BA16" i="9"/>
  <c r="BA12" i="9"/>
  <c r="BA8" i="9"/>
  <c r="BA23" i="9"/>
  <c r="BA19" i="9"/>
  <c r="BA15" i="9"/>
  <c r="BA11" i="9"/>
  <c r="BA9" i="9"/>
  <c r="AU13" i="9"/>
  <c r="AU21" i="9"/>
  <c r="BA22" i="8"/>
  <c r="BA18" i="8"/>
  <c r="BA14" i="8"/>
  <c r="BA10" i="8"/>
  <c r="BA21" i="8"/>
  <c r="BA17" i="8"/>
  <c r="BA13" i="8"/>
  <c r="BA9" i="8"/>
  <c r="BA24" i="8"/>
  <c r="BA20" i="8"/>
  <c r="BA16" i="8"/>
  <c r="BA12" i="8"/>
  <c r="BA23" i="8"/>
  <c r="BA19" i="8"/>
  <c r="BA15" i="8"/>
  <c r="BA11" i="8"/>
  <c r="BA8" i="8"/>
  <c r="K7" i="8"/>
  <c r="AU17" i="8"/>
  <c r="AU15" i="8"/>
  <c r="AU16" i="8"/>
  <c r="AU9" i="8"/>
  <c r="AU11" i="8"/>
  <c r="AU12" i="8"/>
  <c r="AU13" i="8"/>
  <c r="AU24" i="8"/>
  <c r="AU20" i="8"/>
  <c r="AU23" i="8"/>
  <c r="AU19" i="8"/>
  <c r="AU22" i="8"/>
  <c r="AU18" i="8"/>
  <c r="AU14" i="8"/>
  <c r="AU10" i="8"/>
  <c r="AU21" i="8"/>
  <c r="K6" i="7"/>
  <c r="L7" i="7"/>
  <c r="H4" i="7"/>
  <c r="AU13" i="7"/>
  <c r="AU9" i="7"/>
  <c r="AU10" i="7"/>
  <c r="AU24" i="7"/>
  <c r="AU20" i="7"/>
  <c r="AU16" i="7"/>
  <c r="AU12" i="7"/>
  <c r="AU23" i="7"/>
  <c r="AU19" i="7"/>
  <c r="AU15" i="7"/>
  <c r="AU11" i="7"/>
  <c r="AU22" i="7"/>
  <c r="AU18" i="7"/>
  <c r="AU14" i="7"/>
  <c r="AU8" i="7"/>
  <c r="AU21" i="7"/>
  <c r="BA22" i="5"/>
  <c r="BA18" i="5"/>
  <c r="BA14" i="5"/>
  <c r="BA21" i="5"/>
  <c r="BA17" i="5"/>
  <c r="BA24" i="5"/>
  <c r="BA20" i="5"/>
  <c r="BA16" i="5"/>
  <c r="BA23" i="5"/>
  <c r="BA19" i="5"/>
  <c r="BA15" i="5"/>
  <c r="J24" i="5"/>
  <c r="J20" i="5"/>
  <c r="J16" i="5"/>
  <c r="J12" i="5"/>
  <c r="J23" i="5"/>
  <c r="J19" i="5"/>
  <c r="J15" i="5"/>
  <c r="J11" i="5"/>
  <c r="J22" i="5"/>
  <c r="J18" i="5"/>
  <c r="J14" i="5"/>
  <c r="J10" i="5"/>
  <c r="J21" i="5"/>
  <c r="J17" i="5"/>
  <c r="J13" i="5"/>
  <c r="J8" i="5"/>
  <c r="J9" i="5"/>
  <c r="AU24" i="5"/>
  <c r="AU23" i="5"/>
  <c r="AU19" i="5"/>
  <c r="AU15" i="5"/>
  <c r="AU21" i="5"/>
  <c r="AU17" i="5"/>
  <c r="AU20" i="5"/>
  <c r="AU22" i="5"/>
  <c r="AU16" i="5"/>
  <c r="K7" i="5"/>
  <c r="AU14" i="5"/>
  <c r="AU18" i="5"/>
  <c r="L7" i="4"/>
  <c r="K6" i="4"/>
  <c r="H4" i="4"/>
  <c r="J18" i="4"/>
  <c r="AU24" i="4"/>
  <c r="AU23" i="4"/>
  <c r="AU19" i="4"/>
  <c r="AU15" i="4"/>
  <c r="AU11" i="4"/>
  <c r="AU22" i="4"/>
  <c r="AU21" i="4"/>
  <c r="AU17" i="4"/>
  <c r="AU13" i="4"/>
  <c r="AU9" i="4"/>
  <c r="J10" i="4"/>
  <c r="J14" i="4"/>
  <c r="AU8" i="4"/>
  <c r="J24" i="4"/>
  <c r="J20" i="4"/>
  <c r="J16" i="4"/>
  <c r="J12" i="4"/>
  <c r="J23" i="4"/>
  <c r="J19" i="4"/>
  <c r="J15" i="4"/>
  <c r="J11" i="4"/>
  <c r="J22" i="4"/>
  <c r="J21" i="4"/>
  <c r="J17" i="4"/>
  <c r="J13" i="4"/>
  <c r="J8" i="4"/>
  <c r="J9" i="4"/>
  <c r="AU18" i="4"/>
  <c r="AU20" i="4"/>
  <c r="AU10" i="4"/>
  <c r="AU14" i="4"/>
  <c r="AU16" i="4"/>
  <c r="AU12" i="4"/>
  <c r="AU17" i="2"/>
  <c r="AU9" i="2"/>
  <c r="AU24" i="2"/>
  <c r="AU16" i="2"/>
  <c r="AU8" i="2"/>
  <c r="AU23" i="2"/>
  <c r="AU15" i="2"/>
  <c r="AU22" i="2"/>
  <c r="AU14" i="2"/>
  <c r="AU21" i="2"/>
  <c r="AU13" i="2"/>
  <c r="AU20" i="2"/>
  <c r="AU12" i="2"/>
  <c r="AU19" i="2"/>
  <c r="AU11" i="2"/>
  <c r="AU18" i="2"/>
  <c r="BA21" i="2"/>
  <c r="BD21" i="2" s="1"/>
  <c r="BA13" i="2"/>
  <c r="BD13" i="2" s="1"/>
  <c r="BA14" i="2"/>
  <c r="BD14" i="2" s="1"/>
  <c r="BA12" i="2"/>
  <c r="BD12" i="2" s="1"/>
  <c r="BA22" i="2"/>
  <c r="BD22" i="2" s="1"/>
  <c r="BA20" i="2"/>
  <c r="BD20" i="2" s="1"/>
  <c r="BA19" i="2"/>
  <c r="BD19" i="2" s="1"/>
  <c r="BA11" i="2"/>
  <c r="BD11" i="2" s="1"/>
  <c r="BA18" i="2"/>
  <c r="BD18" i="2" s="1"/>
  <c r="BA10" i="2"/>
  <c r="BD10" i="2" s="1"/>
  <c r="BA17" i="2"/>
  <c r="BD17" i="2" s="1"/>
  <c r="BA9" i="2"/>
  <c r="BD9" i="2" s="1"/>
  <c r="BA8" i="2"/>
  <c r="BD8" i="2" s="1"/>
  <c r="BA24" i="2"/>
  <c r="BD24" i="2" s="1"/>
  <c r="BA16" i="2"/>
  <c r="BD16" i="2" s="1"/>
  <c r="BA23" i="2"/>
  <c r="BD23" i="2" s="1"/>
  <c r="K7" i="2"/>
  <c r="L7" i="2" s="1"/>
  <c r="M7" i="2" s="1"/>
  <c r="N7" i="2" s="1"/>
  <c r="N6" i="2" s="1"/>
  <c r="BD13" i="6" l="1"/>
  <c r="BD19" i="6"/>
  <c r="BD17" i="6"/>
  <c r="BD15" i="6"/>
  <c r="BD23" i="6"/>
  <c r="BD21" i="6"/>
  <c r="BD12" i="6"/>
  <c r="BD10" i="6"/>
  <c r="BD16" i="6"/>
  <c r="BD18" i="6"/>
  <c r="L7" i="6"/>
  <c r="K6" i="6"/>
  <c r="BD14" i="6"/>
  <c r="BD20" i="6"/>
  <c r="BD22" i="6"/>
  <c r="BD8" i="6"/>
  <c r="BD24" i="6"/>
  <c r="BD11" i="6"/>
  <c r="BD9" i="6"/>
  <c r="BD9" i="14"/>
  <c r="BD12" i="14"/>
  <c r="BD13" i="14"/>
  <c r="BD16" i="14"/>
  <c r="BD11" i="14"/>
  <c r="BD17" i="14"/>
  <c r="BD15" i="14"/>
  <c r="BD21" i="14"/>
  <c r="BD19" i="14"/>
  <c r="BD10" i="14"/>
  <c r="L6" i="14"/>
  <c r="M7" i="14"/>
  <c r="BD23" i="14"/>
  <c r="BD14" i="14"/>
  <c r="BD20" i="14"/>
  <c r="BD18" i="14"/>
  <c r="BD8" i="14"/>
  <c r="BD24" i="14"/>
  <c r="BD22" i="14"/>
  <c r="BA22" i="13"/>
  <c r="BA18" i="13"/>
  <c r="BA14" i="13"/>
  <c r="BA10" i="13"/>
  <c r="BA21" i="13"/>
  <c r="BA17" i="13"/>
  <c r="BA13" i="13"/>
  <c r="BA24" i="13"/>
  <c r="BA20" i="13"/>
  <c r="BA16" i="13"/>
  <c r="BA12" i="13"/>
  <c r="BA8" i="13"/>
  <c r="BA23" i="13"/>
  <c r="BA19" i="13"/>
  <c r="BA15" i="13"/>
  <c r="BA11" i="13"/>
  <c r="BA9" i="13"/>
  <c r="M7" i="13"/>
  <c r="L6" i="13"/>
  <c r="BD10" i="12"/>
  <c r="BD14" i="12"/>
  <c r="BD11" i="12"/>
  <c r="BD17" i="12"/>
  <c r="BD19" i="12"/>
  <c r="BD15" i="12"/>
  <c r="BD21" i="12"/>
  <c r="BD12" i="12"/>
  <c r="BD18" i="12"/>
  <c r="BD8" i="12"/>
  <c r="BD16" i="12"/>
  <c r="BD22" i="12"/>
  <c r="BD20" i="12"/>
  <c r="BD23" i="12"/>
  <c r="BD24" i="12"/>
  <c r="N7" i="12"/>
  <c r="M6" i="12"/>
  <c r="BD16" i="11"/>
  <c r="BD14" i="11"/>
  <c r="BD20" i="11"/>
  <c r="BD18" i="11"/>
  <c r="BD10" i="11"/>
  <c r="BD24" i="11"/>
  <c r="BD22" i="11"/>
  <c r="BD12" i="11"/>
  <c r="BD11" i="11"/>
  <c r="BD9" i="11"/>
  <c r="BD15" i="11"/>
  <c r="BD13" i="11"/>
  <c r="BD19" i="11"/>
  <c r="BD17" i="11"/>
  <c r="BD23" i="11"/>
  <c r="BD21" i="11"/>
  <c r="M7" i="11"/>
  <c r="L6" i="11"/>
  <c r="BD20" i="10"/>
  <c r="BD8" i="10"/>
  <c r="BD24" i="10"/>
  <c r="BD9" i="10"/>
  <c r="BD11" i="10"/>
  <c r="BD17" i="10"/>
  <c r="BD15" i="10"/>
  <c r="BD21" i="10"/>
  <c r="K23" i="10"/>
  <c r="K19" i="10"/>
  <c r="K22" i="10"/>
  <c r="K18" i="10"/>
  <c r="K14" i="10"/>
  <c r="K10" i="10"/>
  <c r="K21" i="10"/>
  <c r="K17" i="10"/>
  <c r="K13" i="10"/>
  <c r="K12" i="10"/>
  <c r="K11" i="10"/>
  <c r="K20" i="10"/>
  <c r="K15" i="10"/>
  <c r="K16" i="10"/>
  <c r="K9" i="10"/>
  <c r="K24" i="10"/>
  <c r="K8" i="10"/>
  <c r="BD19" i="10"/>
  <c r="BD10" i="10"/>
  <c r="M7" i="10"/>
  <c r="L6" i="10"/>
  <c r="BD23" i="10"/>
  <c r="BD14" i="10"/>
  <c r="BD12" i="10"/>
  <c r="BD18" i="10"/>
  <c r="BD13" i="10"/>
  <c r="BD16" i="10"/>
  <c r="BD22" i="10"/>
  <c r="BD23" i="9"/>
  <c r="BD21" i="9"/>
  <c r="BD8" i="9"/>
  <c r="BD10" i="9"/>
  <c r="BD12" i="9"/>
  <c r="BD14" i="9"/>
  <c r="BD16" i="9"/>
  <c r="BD18" i="9"/>
  <c r="BD9" i="9"/>
  <c r="BD20" i="9"/>
  <c r="BD22" i="9"/>
  <c r="BD11" i="9"/>
  <c r="BD24" i="9"/>
  <c r="M7" i="9"/>
  <c r="L6" i="9"/>
  <c r="BD19" i="9"/>
  <c r="BD17" i="9"/>
  <c r="BD15" i="9"/>
  <c r="BD13" i="9"/>
  <c r="BD11" i="8"/>
  <c r="BD9" i="8"/>
  <c r="BD15" i="8"/>
  <c r="BD13" i="8"/>
  <c r="BD19" i="8"/>
  <c r="BD23" i="8"/>
  <c r="BD21" i="8"/>
  <c r="BD12" i="8"/>
  <c r="BD10" i="8"/>
  <c r="BD17" i="8"/>
  <c r="BD16" i="8"/>
  <c r="BD14" i="8"/>
  <c r="L7" i="8"/>
  <c r="K6" i="8"/>
  <c r="BD20" i="8"/>
  <c r="BD18" i="8"/>
  <c r="BD8" i="8"/>
  <c r="BD24" i="8"/>
  <c r="BD22" i="8"/>
  <c r="BA22" i="7"/>
  <c r="BA18" i="7"/>
  <c r="BA14" i="7"/>
  <c r="BA10" i="7"/>
  <c r="BA21" i="7"/>
  <c r="BA17" i="7"/>
  <c r="BA13" i="7"/>
  <c r="BA9" i="7"/>
  <c r="BA24" i="7"/>
  <c r="BA20" i="7"/>
  <c r="BA16" i="7"/>
  <c r="BA12" i="7"/>
  <c r="BA23" i="7"/>
  <c r="BA11" i="7"/>
  <c r="BA19" i="7"/>
  <c r="BA8" i="7"/>
  <c r="BA15" i="7"/>
  <c r="M7" i="7"/>
  <c r="L6" i="7"/>
  <c r="BD19" i="5"/>
  <c r="BD17" i="5"/>
  <c r="BD9" i="5"/>
  <c r="BD23" i="5"/>
  <c r="BD21" i="5"/>
  <c r="BD13" i="5"/>
  <c r="BD12" i="5"/>
  <c r="BD10" i="5"/>
  <c r="L7" i="5"/>
  <c r="K6" i="5"/>
  <c r="BD11" i="5"/>
  <c r="BD15" i="5"/>
  <c r="BD16" i="5"/>
  <c r="BD14" i="5"/>
  <c r="BD20" i="5"/>
  <c r="BD18" i="5"/>
  <c r="BD8" i="5"/>
  <c r="BD24" i="5"/>
  <c r="BD22" i="5"/>
  <c r="BA22" i="4"/>
  <c r="BA18" i="4"/>
  <c r="BA14" i="4"/>
  <c r="BA10" i="4"/>
  <c r="BA21" i="4"/>
  <c r="BA17" i="4"/>
  <c r="BA13" i="4"/>
  <c r="BA24" i="4"/>
  <c r="BA23" i="4"/>
  <c r="BA19" i="4"/>
  <c r="BA15" i="4"/>
  <c r="BA11" i="4"/>
  <c r="BA20" i="4"/>
  <c r="BA8" i="4"/>
  <c r="BA16" i="4"/>
  <c r="BA9" i="4"/>
  <c r="BA12" i="4"/>
  <c r="L6" i="4"/>
  <c r="M7" i="4"/>
  <c r="K6" i="2"/>
  <c r="M6" i="2"/>
  <c r="M24" i="2" s="1"/>
  <c r="L6" i="2"/>
  <c r="O7" i="2"/>
  <c r="O6" i="2" s="1"/>
  <c r="M7" i="6" l="1"/>
  <c r="L6" i="6"/>
  <c r="N7" i="14"/>
  <c r="M6" i="14"/>
  <c r="BD16" i="13"/>
  <c r="BD18" i="13"/>
  <c r="BD9" i="13"/>
  <c r="BD20" i="13"/>
  <c r="BD22" i="13"/>
  <c r="BD12" i="13"/>
  <c r="BD11" i="13"/>
  <c r="BD24" i="13"/>
  <c r="BD15" i="13"/>
  <c r="BD13" i="13"/>
  <c r="BD19" i="13"/>
  <c r="BD17" i="13"/>
  <c r="BD23" i="13"/>
  <c r="BD21" i="13"/>
  <c r="BD14" i="13"/>
  <c r="M6" i="13"/>
  <c r="N7" i="13"/>
  <c r="BD8" i="13"/>
  <c r="BD10" i="13"/>
  <c r="M22" i="12"/>
  <c r="M18" i="12"/>
  <c r="M21" i="12"/>
  <c r="M17" i="12"/>
  <c r="M13" i="12"/>
  <c r="M9" i="12"/>
  <c r="M24" i="12"/>
  <c r="M20" i="12"/>
  <c r="M16" i="12"/>
  <c r="M12" i="12"/>
  <c r="M23" i="12"/>
  <c r="M10" i="12"/>
  <c r="M8" i="12"/>
  <c r="M19" i="12"/>
  <c r="M15" i="12"/>
  <c r="M14" i="12"/>
  <c r="M11" i="12"/>
  <c r="O7" i="12"/>
  <c r="N6" i="12"/>
  <c r="N7" i="11"/>
  <c r="M6" i="11"/>
  <c r="N7" i="10"/>
  <c r="M6" i="10"/>
  <c r="N7" i="9"/>
  <c r="M6" i="9"/>
  <c r="M7" i="8"/>
  <c r="L6" i="8"/>
  <c r="BD21" i="7"/>
  <c r="L23" i="7"/>
  <c r="L19" i="7"/>
  <c r="L15" i="7"/>
  <c r="L11" i="7"/>
  <c r="L22" i="7"/>
  <c r="L18" i="7"/>
  <c r="L14" i="7"/>
  <c r="L10" i="7"/>
  <c r="L21" i="7"/>
  <c r="L17" i="7"/>
  <c r="L13" i="7"/>
  <c r="L24" i="7"/>
  <c r="L12" i="7"/>
  <c r="L9" i="7"/>
  <c r="L20" i="7"/>
  <c r="L16" i="7"/>
  <c r="L8" i="7"/>
  <c r="BD15" i="7"/>
  <c r="BD24" i="7"/>
  <c r="BD22" i="7"/>
  <c r="BD20" i="7"/>
  <c r="N7" i="7"/>
  <c r="M6" i="7"/>
  <c r="BD8" i="7"/>
  <c r="BD9" i="7"/>
  <c r="BD23" i="7"/>
  <c r="BD18" i="7"/>
  <c r="BD19" i="7"/>
  <c r="BD13" i="7"/>
  <c r="BD11" i="7"/>
  <c r="BD17" i="7"/>
  <c r="BD12" i="7"/>
  <c r="BD10" i="7"/>
  <c r="BD16" i="7"/>
  <c r="BD14" i="7"/>
  <c r="M7" i="5"/>
  <c r="L6" i="5"/>
  <c r="BD20" i="4"/>
  <c r="BD21" i="4"/>
  <c r="BD15" i="4"/>
  <c r="BD14" i="4"/>
  <c r="BD19" i="4"/>
  <c r="BD18" i="4"/>
  <c r="BD8" i="4"/>
  <c r="BD17" i="4"/>
  <c r="BD10" i="4"/>
  <c r="N7" i="4"/>
  <c r="M6" i="4"/>
  <c r="BD12" i="4"/>
  <c r="BD23" i="4"/>
  <c r="BD22" i="4"/>
  <c r="BD11" i="4"/>
  <c r="BD9" i="4"/>
  <c r="BD24" i="4"/>
  <c r="BD16" i="4"/>
  <c r="BD13" i="4"/>
  <c r="M8" i="2"/>
  <c r="M17" i="2"/>
  <c r="M16" i="2"/>
  <c r="M21" i="2"/>
  <c r="M22" i="2"/>
  <c r="M9" i="2"/>
  <c r="M14" i="2"/>
  <c r="M12" i="2"/>
  <c r="P7" i="2"/>
  <c r="P6" i="2" s="1"/>
  <c r="M10" i="2"/>
  <c r="M13" i="2"/>
  <c r="M20" i="2"/>
  <c r="M11" i="2"/>
  <c r="M23" i="2"/>
  <c r="M18" i="2"/>
  <c r="M15" i="2"/>
  <c r="M19" i="2"/>
  <c r="N7" i="6" l="1"/>
  <c r="M6" i="6"/>
  <c r="N6" i="14"/>
  <c r="O7" i="14"/>
  <c r="N6" i="13"/>
  <c r="O7" i="13"/>
  <c r="P7" i="12"/>
  <c r="O6" i="12"/>
  <c r="N6" i="11"/>
  <c r="O7" i="11"/>
  <c r="O7" i="10"/>
  <c r="N6" i="10"/>
  <c r="N6" i="9"/>
  <c r="O7" i="9"/>
  <c r="N7" i="8"/>
  <c r="M6" i="8"/>
  <c r="O7" i="7"/>
  <c r="N6" i="7"/>
  <c r="M6" i="5"/>
  <c r="N7" i="5"/>
  <c r="O7" i="4"/>
  <c r="N6" i="4"/>
  <c r="Q7" i="2"/>
  <c r="R7" i="2" s="1"/>
  <c r="R6" i="2" s="1"/>
  <c r="N6" i="6" l="1"/>
  <c r="O7" i="6"/>
  <c r="P7" i="14"/>
  <c r="O6" i="14"/>
  <c r="P7" i="13"/>
  <c r="O6" i="13"/>
  <c r="Q7" i="12"/>
  <c r="P6" i="12"/>
  <c r="P7" i="11"/>
  <c r="O6" i="11"/>
  <c r="O6" i="10"/>
  <c r="P7" i="10"/>
  <c r="N22" i="9"/>
  <c r="N18" i="9"/>
  <c r="N14" i="9"/>
  <c r="N21" i="9"/>
  <c r="N17" i="9"/>
  <c r="N13" i="9"/>
  <c r="N24" i="9"/>
  <c r="N20" i="9"/>
  <c r="N16" i="9"/>
  <c r="N12" i="9"/>
  <c r="N23" i="9"/>
  <c r="N19" i="9"/>
  <c r="N15" i="9"/>
  <c r="N11" i="9"/>
  <c r="N8" i="9"/>
  <c r="N9" i="9"/>
  <c r="N10" i="9"/>
  <c r="O6" i="9"/>
  <c r="P7" i="9"/>
  <c r="O7" i="8"/>
  <c r="N6" i="8"/>
  <c r="P7" i="7"/>
  <c r="O6" i="7"/>
  <c r="O7" i="5"/>
  <c r="N6" i="5"/>
  <c r="P7" i="4"/>
  <c r="O6" i="4"/>
  <c r="S7" i="2"/>
  <c r="T7" i="2" s="1"/>
  <c r="Q6" i="2"/>
  <c r="O6" i="6" l="1"/>
  <c r="P7" i="6"/>
  <c r="O21" i="14"/>
  <c r="O24" i="14"/>
  <c r="O20" i="14"/>
  <c r="O16" i="14"/>
  <c r="O12" i="14"/>
  <c r="O23" i="14"/>
  <c r="O19" i="14"/>
  <c r="O15" i="14"/>
  <c r="O11" i="14"/>
  <c r="O10" i="14"/>
  <c r="O18" i="14"/>
  <c r="O17" i="14"/>
  <c r="O22" i="14"/>
  <c r="O14" i="14"/>
  <c r="O13" i="14"/>
  <c r="O8" i="14"/>
  <c r="O9" i="14"/>
  <c r="Q7" i="14"/>
  <c r="P6" i="14"/>
  <c r="P6" i="13"/>
  <c r="Q7" i="13"/>
  <c r="R7" i="12"/>
  <c r="Q6" i="12"/>
  <c r="O21" i="11"/>
  <c r="O17" i="11"/>
  <c r="O24" i="11"/>
  <c r="O20" i="11"/>
  <c r="O16" i="11"/>
  <c r="O12" i="11"/>
  <c r="O23" i="11"/>
  <c r="O19" i="11"/>
  <c r="O18" i="11"/>
  <c r="O15" i="11"/>
  <c r="O13" i="11"/>
  <c r="O9" i="11"/>
  <c r="O8" i="11"/>
  <c r="O11" i="11"/>
  <c r="O10" i="11"/>
  <c r="O14" i="11"/>
  <c r="O22" i="11"/>
  <c r="P6" i="11"/>
  <c r="Q7" i="11"/>
  <c r="P6" i="10"/>
  <c r="Q7" i="10"/>
  <c r="Q7" i="9"/>
  <c r="P6" i="9"/>
  <c r="P7" i="8"/>
  <c r="O6" i="8"/>
  <c r="Q7" i="7"/>
  <c r="P6" i="7"/>
  <c r="P7" i="5"/>
  <c r="O6" i="5"/>
  <c r="Q7" i="4"/>
  <c r="P6" i="4"/>
  <c r="S6" i="2"/>
  <c r="U7" i="2"/>
  <c r="T6" i="2"/>
  <c r="Q7" i="6" l="1"/>
  <c r="P6" i="6"/>
  <c r="R7" i="14"/>
  <c r="Q6" i="14"/>
  <c r="Q6" i="13"/>
  <c r="R7" i="13"/>
  <c r="R6" i="12"/>
  <c r="S7" i="12"/>
  <c r="R7" i="11"/>
  <c r="Q6" i="11"/>
  <c r="R7" i="10"/>
  <c r="Q6" i="10"/>
  <c r="Q6" i="9"/>
  <c r="R7" i="9"/>
  <c r="P6" i="8"/>
  <c r="Q7" i="8"/>
  <c r="R7" i="7"/>
  <c r="Q6" i="7"/>
  <c r="P6" i="5"/>
  <c r="Q7" i="5"/>
  <c r="R7" i="4"/>
  <c r="Q6" i="4"/>
  <c r="T11" i="2"/>
  <c r="T19" i="2"/>
  <c r="T9" i="2"/>
  <c r="T16" i="2"/>
  <c r="T24" i="2"/>
  <c r="T23" i="2"/>
  <c r="T15" i="2"/>
  <c r="T14" i="2"/>
  <c r="T22" i="2"/>
  <c r="T13" i="2"/>
  <c r="T21" i="2"/>
  <c r="T12" i="2"/>
  <c r="T20" i="2"/>
  <c r="T8" i="2"/>
  <c r="T10" i="2"/>
  <c r="T18" i="2"/>
  <c r="T17" i="2"/>
  <c r="V7" i="2"/>
  <c r="U6" i="2"/>
  <c r="R7" i="6" l="1"/>
  <c r="Q6" i="6"/>
  <c r="S7" i="14"/>
  <c r="R6" i="14"/>
  <c r="Q24" i="13"/>
  <c r="Q20" i="13"/>
  <c r="Q16" i="13"/>
  <c r="Q23" i="13"/>
  <c r="Q19" i="13"/>
  <c r="Q15" i="13"/>
  <c r="Q11" i="13"/>
  <c r="Q22" i="13"/>
  <c r="Q18" i="13"/>
  <c r="Q14" i="13"/>
  <c r="Q10" i="13"/>
  <c r="Q17" i="13"/>
  <c r="Q21" i="13"/>
  <c r="Q13" i="13"/>
  <c r="Q9" i="13"/>
  <c r="Q8" i="13"/>
  <c r="Q12" i="13"/>
  <c r="S7" i="13"/>
  <c r="R6" i="13"/>
  <c r="S6" i="12"/>
  <c r="T7" i="12"/>
  <c r="R6" i="11"/>
  <c r="S7" i="11"/>
  <c r="S7" i="10"/>
  <c r="R6" i="10"/>
  <c r="S7" i="9"/>
  <c r="R6" i="9"/>
  <c r="Q6" i="8"/>
  <c r="R7" i="8"/>
  <c r="P21" i="8"/>
  <c r="P17" i="8"/>
  <c r="P13" i="8"/>
  <c r="P9" i="8"/>
  <c r="P24" i="8"/>
  <c r="P20" i="8"/>
  <c r="P16" i="8"/>
  <c r="P12" i="8"/>
  <c r="P23" i="8"/>
  <c r="P19" i="8"/>
  <c r="P15" i="8"/>
  <c r="P11" i="8"/>
  <c r="P22" i="8"/>
  <c r="P18" i="8"/>
  <c r="P14" i="8"/>
  <c r="P10" i="8"/>
  <c r="P8" i="8"/>
  <c r="R6" i="7"/>
  <c r="S7" i="7"/>
  <c r="R7" i="5"/>
  <c r="Q6" i="5"/>
  <c r="S7" i="4"/>
  <c r="R6" i="4"/>
  <c r="Q24" i="4"/>
  <c r="Q23" i="4"/>
  <c r="Q19" i="4"/>
  <c r="Q15" i="4"/>
  <c r="Q11" i="4"/>
  <c r="Q22" i="4"/>
  <c r="Q21" i="4"/>
  <c r="Q17" i="4"/>
  <c r="Q13" i="4"/>
  <c r="Q9" i="4"/>
  <c r="Q10" i="4"/>
  <c r="Q12" i="4"/>
  <c r="Q16" i="4"/>
  <c r="Q14" i="4"/>
  <c r="Q20" i="4"/>
  <c r="Q18" i="4"/>
  <c r="Q8" i="4"/>
  <c r="W7" i="2"/>
  <c r="V6" i="2"/>
  <c r="R6" i="6" l="1"/>
  <c r="S7" i="6"/>
  <c r="S6" i="14"/>
  <c r="T7" i="14"/>
  <c r="T7" i="13"/>
  <c r="S6" i="13"/>
  <c r="U7" i="12"/>
  <c r="T6" i="12"/>
  <c r="T7" i="11"/>
  <c r="S6" i="11"/>
  <c r="R24" i="10"/>
  <c r="R20" i="10"/>
  <c r="R16" i="10"/>
  <c r="R12" i="10"/>
  <c r="R23" i="10"/>
  <c r="R19" i="10"/>
  <c r="R22" i="10"/>
  <c r="R18" i="10"/>
  <c r="R14" i="10"/>
  <c r="R10" i="10"/>
  <c r="R21" i="10"/>
  <c r="R17" i="10"/>
  <c r="R13" i="10"/>
  <c r="R15" i="10"/>
  <c r="R9" i="10"/>
  <c r="R8" i="10"/>
  <c r="R11" i="10"/>
  <c r="T7" i="10"/>
  <c r="S6" i="10"/>
  <c r="T7" i="9"/>
  <c r="S6" i="9"/>
  <c r="S7" i="8"/>
  <c r="R6" i="8"/>
  <c r="S6" i="7"/>
  <c r="T7" i="7"/>
  <c r="R6" i="5"/>
  <c r="S7" i="5"/>
  <c r="Q24" i="5"/>
  <c r="Q23" i="5"/>
  <c r="Q19" i="5"/>
  <c r="Q15" i="5"/>
  <c r="Q11" i="5"/>
  <c r="Q21" i="5"/>
  <c r="Q17" i="5"/>
  <c r="Q13" i="5"/>
  <c r="Q14" i="5"/>
  <c r="Q9" i="5"/>
  <c r="Q20" i="5"/>
  <c r="Q12" i="5"/>
  <c r="Q10" i="5"/>
  <c r="Q16" i="5"/>
  <c r="Q8" i="5"/>
  <c r="Q22" i="5"/>
  <c r="Q18" i="5"/>
  <c r="T7" i="4"/>
  <c r="S6" i="4"/>
  <c r="X7" i="2"/>
  <c r="W6" i="2"/>
  <c r="T7" i="6" l="1"/>
  <c r="S6" i="6"/>
  <c r="U7" i="14"/>
  <c r="T6" i="14"/>
  <c r="U7" i="13"/>
  <c r="T6" i="13"/>
  <c r="U6" i="12"/>
  <c r="V7" i="12"/>
  <c r="T23" i="12"/>
  <c r="T19" i="12"/>
  <c r="T15" i="12"/>
  <c r="T11" i="12"/>
  <c r="T22" i="12"/>
  <c r="T18" i="12"/>
  <c r="T21" i="12"/>
  <c r="T17" i="12"/>
  <c r="T13" i="12"/>
  <c r="T24" i="12"/>
  <c r="T20" i="12"/>
  <c r="T16" i="12"/>
  <c r="T12" i="12"/>
  <c r="T9" i="12"/>
  <c r="T14" i="12"/>
  <c r="T10" i="12"/>
  <c r="T8" i="12"/>
  <c r="U7" i="11"/>
  <c r="T6" i="11"/>
  <c r="U7" i="10"/>
  <c r="T6" i="10"/>
  <c r="T6" i="9"/>
  <c r="U7" i="9"/>
  <c r="T7" i="8"/>
  <c r="S6" i="8"/>
  <c r="U7" i="7"/>
  <c r="T6" i="7"/>
  <c r="S23" i="7"/>
  <c r="S19" i="7"/>
  <c r="S15" i="7"/>
  <c r="S11" i="7"/>
  <c r="S22" i="7"/>
  <c r="S18" i="7"/>
  <c r="S14" i="7"/>
  <c r="S10" i="7"/>
  <c r="S21" i="7"/>
  <c r="S17" i="7"/>
  <c r="S20" i="7"/>
  <c r="S16" i="7"/>
  <c r="S9" i="7"/>
  <c r="S13" i="7"/>
  <c r="S8" i="7"/>
  <c r="S12" i="7"/>
  <c r="S24" i="7"/>
  <c r="T7" i="5"/>
  <c r="S6" i="5"/>
  <c r="T6" i="4"/>
  <c r="U7" i="4"/>
  <c r="Y7" i="2"/>
  <c r="X6" i="2"/>
  <c r="U7" i="6" l="1"/>
  <c r="T6" i="6"/>
  <c r="V7" i="14"/>
  <c r="U6" i="14"/>
  <c r="U6" i="13"/>
  <c r="V7" i="13"/>
  <c r="W7" i="12"/>
  <c r="V6" i="12"/>
  <c r="V7" i="11"/>
  <c r="U6" i="11"/>
  <c r="V7" i="10"/>
  <c r="U6" i="10"/>
  <c r="V7" i="9"/>
  <c r="U6" i="9"/>
  <c r="U7" i="8"/>
  <c r="T6" i="8"/>
  <c r="V7" i="7"/>
  <c r="U6" i="7"/>
  <c r="U7" i="5"/>
  <c r="T6" i="5"/>
  <c r="U6" i="4"/>
  <c r="V7" i="4"/>
  <c r="Z7" i="2"/>
  <c r="Y6" i="2"/>
  <c r="V7" i="6" l="1"/>
  <c r="U6" i="6"/>
  <c r="V6" i="14"/>
  <c r="W7" i="14"/>
  <c r="W7" i="13"/>
  <c r="V6" i="13"/>
  <c r="W6" i="12"/>
  <c r="X7" i="12"/>
  <c r="W7" i="11"/>
  <c r="V6" i="11"/>
  <c r="W7" i="10"/>
  <c r="V6" i="10"/>
  <c r="U22" i="9"/>
  <c r="U18" i="9"/>
  <c r="U14" i="9"/>
  <c r="U10" i="9"/>
  <c r="U21" i="9"/>
  <c r="U17" i="9"/>
  <c r="U13" i="9"/>
  <c r="U24" i="9"/>
  <c r="U20" i="9"/>
  <c r="U16" i="9"/>
  <c r="U12" i="9"/>
  <c r="U23" i="9"/>
  <c r="U8" i="9"/>
  <c r="U15" i="9"/>
  <c r="U11" i="9"/>
  <c r="U19" i="9"/>
  <c r="U9" i="9"/>
  <c r="V6" i="9"/>
  <c r="W7" i="9"/>
  <c r="V7" i="8"/>
  <c r="U6" i="8"/>
  <c r="W7" i="7"/>
  <c r="V6" i="7"/>
  <c r="U6" i="5"/>
  <c r="V7" i="5"/>
  <c r="W7" i="4"/>
  <c r="V6" i="4"/>
  <c r="AA7" i="2"/>
  <c r="Z6" i="2"/>
  <c r="U22" i="6" l="1"/>
  <c r="U18" i="6"/>
  <c r="U14" i="6"/>
  <c r="U10" i="6"/>
  <c r="U21" i="6"/>
  <c r="U24" i="6"/>
  <c r="U20" i="6"/>
  <c r="U23" i="6"/>
  <c r="U13" i="6"/>
  <c r="U12" i="6"/>
  <c r="U11" i="6"/>
  <c r="U8" i="6"/>
  <c r="U17" i="6"/>
  <c r="U16" i="6"/>
  <c r="U15" i="6"/>
  <c r="U19" i="6"/>
  <c r="U9" i="6"/>
  <c r="V6" i="6"/>
  <c r="W7" i="6"/>
  <c r="X7" i="14"/>
  <c r="W6" i="14"/>
  <c r="V22" i="14"/>
  <c r="V18" i="14"/>
  <c r="V14" i="14"/>
  <c r="V10" i="14"/>
  <c r="V21" i="14"/>
  <c r="V17" i="14"/>
  <c r="V13" i="14"/>
  <c r="V9" i="14"/>
  <c r="V24" i="14"/>
  <c r="V20" i="14"/>
  <c r="V23" i="14"/>
  <c r="V19" i="14"/>
  <c r="V15" i="14"/>
  <c r="V11" i="14"/>
  <c r="V16" i="14"/>
  <c r="V12" i="14"/>
  <c r="V8" i="14"/>
  <c r="X7" i="13"/>
  <c r="W6" i="13"/>
  <c r="Y7" i="12"/>
  <c r="X6" i="12"/>
  <c r="W6" i="11"/>
  <c r="X7" i="11"/>
  <c r="V22" i="11"/>
  <c r="V18" i="11"/>
  <c r="V14" i="11"/>
  <c r="V10" i="11"/>
  <c r="V21" i="11"/>
  <c r="V17" i="11"/>
  <c r="V13" i="11"/>
  <c r="V9" i="11"/>
  <c r="V24" i="11"/>
  <c r="V20" i="11"/>
  <c r="V16" i="11"/>
  <c r="V12" i="11"/>
  <c r="V23" i="11"/>
  <c r="V19" i="11"/>
  <c r="V15" i="11"/>
  <c r="V11" i="11"/>
  <c r="V8" i="11"/>
  <c r="W6" i="10"/>
  <c r="X7" i="10"/>
  <c r="X7" i="9"/>
  <c r="W6" i="9"/>
  <c r="W7" i="8"/>
  <c r="V6" i="8"/>
  <c r="X7" i="7"/>
  <c r="W6" i="7"/>
  <c r="W7" i="5"/>
  <c r="V6" i="5"/>
  <c r="X7" i="4"/>
  <c r="W6" i="4"/>
  <c r="AB7" i="2"/>
  <c r="AA6" i="2"/>
  <c r="W6" i="6" l="1"/>
  <c r="X7" i="6"/>
  <c r="Y7" i="14"/>
  <c r="X6" i="14"/>
  <c r="X6" i="13"/>
  <c r="Y7" i="13"/>
  <c r="Z7" i="12"/>
  <c r="Y6" i="12"/>
  <c r="X6" i="11"/>
  <c r="Y7" i="11"/>
  <c r="X6" i="10"/>
  <c r="Y7" i="10"/>
  <c r="Y7" i="9"/>
  <c r="X6" i="9"/>
  <c r="X7" i="8"/>
  <c r="W6" i="8"/>
  <c r="Y7" i="7"/>
  <c r="X6" i="7"/>
  <c r="X7" i="5"/>
  <c r="W6" i="5"/>
  <c r="Y7" i="4"/>
  <c r="X6" i="4"/>
  <c r="AA10" i="2"/>
  <c r="AA18" i="2"/>
  <c r="AA8" i="2"/>
  <c r="AA15" i="2"/>
  <c r="AA23" i="2"/>
  <c r="AA14" i="2"/>
  <c r="AA22" i="2"/>
  <c r="AA13" i="2"/>
  <c r="AA21" i="2"/>
  <c r="AA11" i="2"/>
  <c r="AA12" i="2"/>
  <c r="AA20" i="2"/>
  <c r="AA16" i="2"/>
  <c r="AA9" i="2"/>
  <c r="AA24" i="2"/>
  <c r="AA17" i="2"/>
  <c r="AA19" i="2"/>
  <c r="AC7" i="2"/>
  <c r="AB6" i="2"/>
  <c r="Y7" i="6" l="1"/>
  <c r="X6" i="6"/>
  <c r="Y6" i="14"/>
  <c r="Z7" i="14"/>
  <c r="Y6" i="13"/>
  <c r="Z7" i="13"/>
  <c r="X21" i="13"/>
  <c r="X17" i="13"/>
  <c r="X13" i="13"/>
  <c r="X9" i="13"/>
  <c r="X24" i="13"/>
  <c r="X20" i="13"/>
  <c r="X16" i="13"/>
  <c r="X23" i="13"/>
  <c r="X19" i="13"/>
  <c r="X15" i="13"/>
  <c r="X11" i="13"/>
  <c r="X22" i="13"/>
  <c r="X18" i="13"/>
  <c r="X14" i="13"/>
  <c r="X10" i="13"/>
  <c r="X12" i="13"/>
  <c r="X8" i="13"/>
  <c r="Z6" i="12"/>
  <c r="AA7" i="12"/>
  <c r="Z7" i="11"/>
  <c r="Y6" i="11"/>
  <c r="Z7" i="10"/>
  <c r="Y6" i="10"/>
  <c r="Y6" i="9"/>
  <c r="Z7" i="9"/>
  <c r="W21" i="8"/>
  <c r="W24" i="8"/>
  <c r="W20" i="8"/>
  <c r="W23" i="8"/>
  <c r="W19" i="8"/>
  <c r="W15" i="8"/>
  <c r="W11" i="8"/>
  <c r="W9" i="8"/>
  <c r="W8" i="8"/>
  <c r="W18" i="8"/>
  <c r="W14" i="8"/>
  <c r="W13" i="8"/>
  <c r="W12" i="8"/>
  <c r="W17" i="8"/>
  <c r="W16" i="8"/>
  <c r="W10" i="8"/>
  <c r="W22" i="8"/>
  <c r="X6" i="8"/>
  <c r="Y7" i="8"/>
  <c r="Z7" i="7"/>
  <c r="Y6" i="7"/>
  <c r="X6" i="5"/>
  <c r="Y7" i="5"/>
  <c r="X21" i="4"/>
  <c r="X17" i="4"/>
  <c r="X13" i="4"/>
  <c r="X9" i="4"/>
  <c r="X24" i="4"/>
  <c r="X20" i="4"/>
  <c r="X16" i="4"/>
  <c r="X12" i="4"/>
  <c r="X23" i="4"/>
  <c r="X22" i="4"/>
  <c r="X18" i="4"/>
  <c r="X14" i="4"/>
  <c r="X10" i="4"/>
  <c r="X19" i="4"/>
  <c r="X15" i="4"/>
  <c r="X8" i="4"/>
  <c r="X11" i="4"/>
  <c r="Z7" i="4"/>
  <c r="Y6" i="4"/>
  <c r="AD7" i="2"/>
  <c r="AC6" i="2"/>
  <c r="Z7" i="6" l="1"/>
  <c r="Y6" i="6"/>
  <c r="Z6" i="14"/>
  <c r="AA7" i="14"/>
  <c r="AA7" i="13"/>
  <c r="Z6" i="13"/>
  <c r="AA6" i="12"/>
  <c r="AB7" i="12"/>
  <c r="AA7" i="11"/>
  <c r="Z6" i="11"/>
  <c r="Y24" i="10"/>
  <c r="Y20" i="10"/>
  <c r="Y16" i="10"/>
  <c r="Y23" i="10"/>
  <c r="Y19" i="10"/>
  <c r="Y15" i="10"/>
  <c r="Y11" i="10"/>
  <c r="Y22" i="10"/>
  <c r="Y18" i="10"/>
  <c r="Y14" i="10"/>
  <c r="Y10" i="10"/>
  <c r="Y9" i="10"/>
  <c r="Y21" i="10"/>
  <c r="Y17" i="10"/>
  <c r="Y13" i="10"/>
  <c r="Y12" i="10"/>
  <c r="Y8" i="10"/>
  <c r="AA7" i="10"/>
  <c r="Z6" i="10"/>
  <c r="AA7" i="9"/>
  <c r="Z6" i="9"/>
  <c r="Y6" i="8"/>
  <c r="Z7" i="8"/>
  <c r="Z6" i="7"/>
  <c r="AA7" i="7"/>
  <c r="Z7" i="5"/>
  <c r="Y6" i="5"/>
  <c r="X21" i="5"/>
  <c r="X17" i="5"/>
  <c r="X13" i="5"/>
  <c r="X9" i="5"/>
  <c r="X24" i="5"/>
  <c r="X20" i="5"/>
  <c r="X16" i="5"/>
  <c r="X12" i="5"/>
  <c r="X23" i="5"/>
  <c r="X19" i="5"/>
  <c r="X15" i="5"/>
  <c r="X11" i="5"/>
  <c r="X22" i="5"/>
  <c r="X18" i="5"/>
  <c r="X14" i="5"/>
  <c r="X10" i="5"/>
  <c r="X8" i="5"/>
  <c r="AA7" i="4"/>
  <c r="Z6" i="4"/>
  <c r="AE7" i="2"/>
  <c r="AD6" i="2"/>
  <c r="AA7" i="6" l="1"/>
  <c r="Z6" i="6"/>
  <c r="AA6" i="14"/>
  <c r="AB7" i="14"/>
  <c r="AB7" i="13"/>
  <c r="AA6" i="13"/>
  <c r="AC7" i="12"/>
  <c r="AB6" i="12"/>
  <c r="AA23" i="12"/>
  <c r="AA19" i="12"/>
  <c r="AA22" i="12"/>
  <c r="AA18" i="12"/>
  <c r="AA14" i="12"/>
  <c r="AA10" i="12"/>
  <c r="AA21" i="12"/>
  <c r="AA17" i="12"/>
  <c r="AA13" i="12"/>
  <c r="AA9" i="12"/>
  <c r="AA12" i="12"/>
  <c r="AA11" i="12"/>
  <c r="AA24" i="12"/>
  <c r="AA16" i="12"/>
  <c r="AA15" i="12"/>
  <c r="AA20" i="12"/>
  <c r="AA8" i="12"/>
  <c r="AB7" i="11"/>
  <c r="AA6" i="11"/>
  <c r="AB7" i="10"/>
  <c r="AA6" i="10"/>
  <c r="AB7" i="9"/>
  <c r="AA6" i="9"/>
  <c r="AA7" i="8"/>
  <c r="Z6" i="8"/>
  <c r="AA6" i="7"/>
  <c r="AB7" i="7"/>
  <c r="Z24" i="7"/>
  <c r="Z20" i="7"/>
  <c r="Z16" i="7"/>
  <c r="Z12" i="7"/>
  <c r="Z23" i="7"/>
  <c r="Z19" i="7"/>
  <c r="Z15" i="7"/>
  <c r="Z11" i="7"/>
  <c r="Z22" i="7"/>
  <c r="Z18" i="7"/>
  <c r="Z14" i="7"/>
  <c r="Z10" i="7"/>
  <c r="Z8" i="7"/>
  <c r="Z9" i="7"/>
  <c r="Z13" i="7"/>
  <c r="Z21" i="7"/>
  <c r="Z17" i="7"/>
  <c r="Z6" i="5"/>
  <c r="AA7" i="5"/>
  <c r="AB7" i="4"/>
  <c r="AA6" i="4"/>
  <c r="AF7" i="2"/>
  <c r="AE6" i="2"/>
  <c r="AB7" i="6" l="1"/>
  <c r="AA6" i="6"/>
  <c r="AC7" i="14"/>
  <c r="AB6" i="14"/>
  <c r="AC7" i="13"/>
  <c r="AB6" i="13"/>
  <c r="AD7" i="12"/>
  <c r="AC6" i="12"/>
  <c r="AB6" i="11"/>
  <c r="AC7" i="11"/>
  <c r="AC7" i="10"/>
  <c r="AB6" i="10"/>
  <c r="AC7" i="9"/>
  <c r="AB6" i="9"/>
  <c r="AB7" i="8"/>
  <c r="AA6" i="8"/>
  <c r="AC7" i="7"/>
  <c r="AB6" i="7"/>
  <c r="AB7" i="5"/>
  <c r="AA6" i="5"/>
  <c r="AB6" i="4"/>
  <c r="AC7" i="4"/>
  <c r="AG7" i="2"/>
  <c r="AF6" i="2"/>
  <c r="AC7" i="6" l="1"/>
  <c r="AB6" i="6"/>
  <c r="AD7" i="14"/>
  <c r="AC6" i="14"/>
  <c r="AC6" i="13"/>
  <c r="AD7" i="13"/>
  <c r="AE7" i="12"/>
  <c r="AD6" i="12"/>
  <c r="AD7" i="11"/>
  <c r="AC6" i="11"/>
  <c r="AD7" i="10"/>
  <c r="AC6" i="10"/>
  <c r="AD7" i="9"/>
  <c r="AC6" i="9"/>
  <c r="AB23" i="9"/>
  <c r="AB19" i="9"/>
  <c r="AB15" i="9"/>
  <c r="AB11" i="9"/>
  <c r="AB22" i="9"/>
  <c r="AB18" i="9"/>
  <c r="AB14" i="9"/>
  <c r="AB10" i="9"/>
  <c r="AB21" i="9"/>
  <c r="AB17" i="9"/>
  <c r="AB13" i="9"/>
  <c r="AB9" i="9"/>
  <c r="AB24" i="9"/>
  <c r="AB20" i="9"/>
  <c r="AB16" i="9"/>
  <c r="AB12" i="9"/>
  <c r="AB8" i="9"/>
  <c r="AC7" i="8"/>
  <c r="AB6" i="8"/>
  <c r="AD7" i="7"/>
  <c r="AC6" i="7"/>
  <c r="AC7" i="5"/>
  <c r="AB6" i="5"/>
  <c r="AD7" i="4"/>
  <c r="AC6" i="4"/>
  <c r="AH7" i="2"/>
  <c r="AG6" i="2"/>
  <c r="AB23" i="6" l="1"/>
  <c r="AB19" i="6"/>
  <c r="AB15" i="6"/>
  <c r="AB11" i="6"/>
  <c r="AB22" i="6"/>
  <c r="AB18" i="6"/>
  <c r="AB14" i="6"/>
  <c r="AB10" i="6"/>
  <c r="AB21" i="6"/>
  <c r="AB17" i="6"/>
  <c r="AB13" i="6"/>
  <c r="AB24" i="6"/>
  <c r="AB20" i="6"/>
  <c r="AB16" i="6"/>
  <c r="AB12" i="6"/>
  <c r="AB8" i="6"/>
  <c r="AB9" i="6"/>
  <c r="AD7" i="6"/>
  <c r="AC6" i="6"/>
  <c r="AC22" i="14"/>
  <c r="AC21" i="14"/>
  <c r="AC17" i="14"/>
  <c r="AC13" i="14"/>
  <c r="AC24" i="14"/>
  <c r="AC20" i="14"/>
  <c r="AC16" i="14"/>
  <c r="AC12" i="14"/>
  <c r="AC11" i="14"/>
  <c r="AC10" i="14"/>
  <c r="AC15" i="14"/>
  <c r="AC18" i="14"/>
  <c r="AC9" i="14"/>
  <c r="AC14" i="14"/>
  <c r="AC19" i="14"/>
  <c r="AC8" i="14"/>
  <c r="AC23" i="14"/>
  <c r="AD6" i="14"/>
  <c r="AE7" i="14"/>
  <c r="AD6" i="13"/>
  <c r="AE7" i="13"/>
  <c r="AF7" i="12"/>
  <c r="AE6" i="12"/>
  <c r="AC22" i="11"/>
  <c r="AC18" i="11"/>
  <c r="AC21" i="11"/>
  <c r="AC17" i="11"/>
  <c r="AC13" i="11"/>
  <c r="AC9" i="11"/>
  <c r="AC24" i="11"/>
  <c r="AC20" i="11"/>
  <c r="AC16" i="11"/>
  <c r="AC11" i="11"/>
  <c r="AC19" i="11"/>
  <c r="AC8" i="11"/>
  <c r="AC15" i="11"/>
  <c r="AC23" i="11"/>
  <c r="AC12" i="11"/>
  <c r="AC10" i="11"/>
  <c r="AC14" i="11"/>
  <c r="AE7" i="11"/>
  <c r="AD6" i="11"/>
  <c r="AE7" i="10"/>
  <c r="AD6" i="10"/>
  <c r="AD6" i="9"/>
  <c r="AE7" i="9"/>
  <c r="AD7" i="8"/>
  <c r="AC6" i="8"/>
  <c r="AE7" i="7"/>
  <c r="AD6" i="7"/>
  <c r="AC6" i="5"/>
  <c r="AD7" i="5"/>
  <c r="AE7" i="4"/>
  <c r="AD6" i="4"/>
  <c r="AI7" i="2"/>
  <c r="AH6" i="2"/>
  <c r="AD6" i="6" l="1"/>
  <c r="AE7" i="6"/>
  <c r="AF7" i="14"/>
  <c r="AE6" i="14"/>
  <c r="AF7" i="13"/>
  <c r="AE6" i="13"/>
  <c r="AG7" i="12"/>
  <c r="AF6" i="12"/>
  <c r="AF7" i="11"/>
  <c r="AE6" i="11"/>
  <c r="AE6" i="10"/>
  <c r="AF7" i="10"/>
  <c r="AE6" i="9"/>
  <c r="AF7" i="9"/>
  <c r="AE7" i="8"/>
  <c r="AD6" i="8"/>
  <c r="AF7" i="7"/>
  <c r="AE6" i="7"/>
  <c r="AE7" i="5"/>
  <c r="AD6" i="5"/>
  <c r="AF7" i="4"/>
  <c r="AE6" i="4"/>
  <c r="AH9" i="2"/>
  <c r="AH17" i="2"/>
  <c r="AH14" i="2"/>
  <c r="AH22" i="2"/>
  <c r="AH13" i="2"/>
  <c r="AH21" i="2"/>
  <c r="AH12" i="2"/>
  <c r="AH20" i="2"/>
  <c r="AH11" i="2"/>
  <c r="AH19" i="2"/>
  <c r="AH10" i="2"/>
  <c r="AH18" i="2"/>
  <c r="AH16" i="2"/>
  <c r="AH23" i="2"/>
  <c r="AH15" i="2"/>
  <c r="AH24" i="2"/>
  <c r="AH8" i="2"/>
  <c r="AJ7" i="2"/>
  <c r="AI6" i="2"/>
  <c r="AE6" i="6" l="1"/>
  <c r="AF7" i="6"/>
  <c r="AG7" i="14"/>
  <c r="AF6" i="14"/>
  <c r="AE21" i="13"/>
  <c r="AE17" i="13"/>
  <c r="AE13" i="13"/>
  <c r="AE24" i="13"/>
  <c r="AE20" i="13"/>
  <c r="AE16" i="13"/>
  <c r="AE12" i="13"/>
  <c r="AE23" i="13"/>
  <c r="AE19" i="13"/>
  <c r="AE15" i="13"/>
  <c r="AE11" i="13"/>
  <c r="AE22" i="13"/>
  <c r="AE10" i="13"/>
  <c r="AE9" i="13"/>
  <c r="AE18" i="13"/>
  <c r="AE8" i="13"/>
  <c r="AE14" i="13"/>
  <c r="AF6" i="13"/>
  <c r="AG7" i="13"/>
  <c r="AH7" i="12"/>
  <c r="AG6" i="12"/>
  <c r="AF6" i="11"/>
  <c r="AG7" i="11"/>
  <c r="AF6" i="10"/>
  <c r="AG7" i="10"/>
  <c r="AG7" i="9"/>
  <c r="AF6" i="9"/>
  <c r="AD22" i="8"/>
  <c r="AD18" i="8"/>
  <c r="AD14" i="8"/>
  <c r="AD10" i="8"/>
  <c r="AD21" i="8"/>
  <c r="AD17" i="8"/>
  <c r="AD13" i="8"/>
  <c r="AD9" i="8"/>
  <c r="AD24" i="8"/>
  <c r="AD20" i="8"/>
  <c r="AD16" i="8"/>
  <c r="AD12" i="8"/>
  <c r="AD23" i="8"/>
  <c r="AD19" i="8"/>
  <c r="AD15" i="8"/>
  <c r="AD11" i="8"/>
  <c r="AD8" i="8"/>
  <c r="AF7" i="8"/>
  <c r="AE6" i="8"/>
  <c r="AG7" i="7"/>
  <c r="AF6" i="7"/>
  <c r="AF7" i="5"/>
  <c r="AE6" i="5"/>
  <c r="AE24" i="4"/>
  <c r="AE20" i="4"/>
  <c r="AE16" i="4"/>
  <c r="AE12" i="4"/>
  <c r="AE23" i="4"/>
  <c r="AE22" i="4"/>
  <c r="AE18" i="4"/>
  <c r="AE14" i="4"/>
  <c r="AE10" i="4"/>
  <c r="AE9" i="4"/>
  <c r="AE13" i="4"/>
  <c r="AE11" i="4"/>
  <c r="AE17" i="4"/>
  <c r="AE15" i="4"/>
  <c r="AE8" i="4"/>
  <c r="AE21" i="4"/>
  <c r="AE19" i="4"/>
  <c r="AG7" i="4"/>
  <c r="AF6" i="4"/>
  <c r="AK7" i="2"/>
  <c r="AJ6" i="2"/>
  <c r="AG7" i="6" l="1"/>
  <c r="AF6" i="6"/>
  <c r="AG6" i="14"/>
  <c r="AH7" i="14"/>
  <c r="AG6" i="13"/>
  <c r="AH7" i="13"/>
  <c r="AH6" i="12"/>
  <c r="AI7" i="12"/>
  <c r="AH7" i="11"/>
  <c r="AG6" i="11"/>
  <c r="AF21" i="10"/>
  <c r="AF17" i="10"/>
  <c r="AF13" i="10"/>
  <c r="AF9" i="10"/>
  <c r="AF24" i="10"/>
  <c r="AF20" i="10"/>
  <c r="AF23" i="10"/>
  <c r="AF19" i="10"/>
  <c r="AF15" i="10"/>
  <c r="AF11" i="10"/>
  <c r="AF22" i="10"/>
  <c r="AF18" i="10"/>
  <c r="AF14" i="10"/>
  <c r="AF10" i="10"/>
  <c r="AF12" i="10"/>
  <c r="AF8" i="10"/>
  <c r="AF16" i="10"/>
  <c r="AH7" i="10"/>
  <c r="AG6" i="10"/>
  <c r="AG6" i="9"/>
  <c r="AH7" i="9"/>
  <c r="AF6" i="8"/>
  <c r="AG7" i="8"/>
  <c r="AH7" i="7"/>
  <c r="AG6" i="7"/>
  <c r="AF6" i="5"/>
  <c r="AG7" i="5"/>
  <c r="AE24" i="5"/>
  <c r="AE20" i="5"/>
  <c r="AE16" i="5"/>
  <c r="AE12" i="5"/>
  <c r="AE22" i="5"/>
  <c r="AE18" i="5"/>
  <c r="AE14" i="5"/>
  <c r="AE19" i="5"/>
  <c r="AE17" i="5"/>
  <c r="AE15" i="5"/>
  <c r="AE21" i="5"/>
  <c r="AE11" i="5"/>
  <c r="AE10" i="5"/>
  <c r="AE8" i="5"/>
  <c r="AE9" i="5"/>
  <c r="AE23" i="5"/>
  <c r="AE13" i="5"/>
  <c r="AH7" i="4"/>
  <c r="AG6" i="4"/>
  <c r="AL7" i="2"/>
  <c r="AK6" i="2"/>
  <c r="AH7" i="6" l="1"/>
  <c r="AG6" i="6"/>
  <c r="AI7" i="14"/>
  <c r="AH6" i="14"/>
  <c r="AI7" i="13"/>
  <c r="AH6" i="13"/>
  <c r="AJ7" i="12"/>
  <c r="AI6" i="12"/>
  <c r="AH24" i="12"/>
  <c r="AH20" i="12"/>
  <c r="AH16" i="12"/>
  <c r="AH12" i="12"/>
  <c r="AH23" i="12"/>
  <c r="AH19" i="12"/>
  <c r="AH22" i="12"/>
  <c r="AH18" i="12"/>
  <c r="AH14" i="12"/>
  <c r="AH10" i="12"/>
  <c r="AH21" i="12"/>
  <c r="AH17" i="12"/>
  <c r="AH13" i="12"/>
  <c r="AH15" i="12"/>
  <c r="AH8" i="12"/>
  <c r="AH9" i="12"/>
  <c r="AH11" i="12"/>
  <c r="AH6" i="11"/>
  <c r="AI7" i="11"/>
  <c r="AI7" i="10"/>
  <c r="AH6" i="10"/>
  <c r="AI7" i="9"/>
  <c r="AH6" i="9"/>
  <c r="AG6" i="8"/>
  <c r="AH7" i="8"/>
  <c r="AG24" i="7"/>
  <c r="AG20" i="7"/>
  <c r="AG16" i="7"/>
  <c r="AG12" i="7"/>
  <c r="AG23" i="7"/>
  <c r="AG19" i="7"/>
  <c r="AG15" i="7"/>
  <c r="AG11" i="7"/>
  <c r="AG22" i="7"/>
  <c r="AG18" i="7"/>
  <c r="AG14" i="7"/>
  <c r="AG9" i="7"/>
  <c r="AG13" i="7"/>
  <c r="AG8" i="7"/>
  <c r="AG21" i="7"/>
  <c r="AG17" i="7"/>
  <c r="AG10" i="7"/>
  <c r="AH6" i="7"/>
  <c r="AI7" i="7"/>
  <c r="AH7" i="5"/>
  <c r="AG6" i="5"/>
  <c r="AI7" i="4"/>
  <c r="AH6" i="4"/>
  <c r="AM7" i="2"/>
  <c r="AL6" i="2"/>
  <c r="AH6" i="6" l="1"/>
  <c r="AI7" i="6"/>
  <c r="AI6" i="14"/>
  <c r="AJ7" i="14"/>
  <c r="AJ7" i="13"/>
  <c r="AI6" i="13"/>
  <c r="AK7" i="12"/>
  <c r="AJ6" i="12"/>
  <c r="AJ7" i="11"/>
  <c r="AI6" i="11"/>
  <c r="AJ7" i="10"/>
  <c r="AI6" i="10"/>
  <c r="AJ7" i="9"/>
  <c r="AI6" i="9"/>
  <c r="AI7" i="8"/>
  <c r="AH6" i="8"/>
  <c r="AI6" i="7"/>
  <c r="AJ7" i="7"/>
  <c r="AI7" i="5"/>
  <c r="AH6" i="5"/>
  <c r="AJ7" i="4"/>
  <c r="AI6" i="4"/>
  <c r="AN7" i="2"/>
  <c r="AM6" i="2"/>
  <c r="AJ7" i="6" l="1"/>
  <c r="AI6" i="6"/>
  <c r="AK7" i="14"/>
  <c r="AJ6" i="14"/>
  <c r="AK7" i="13"/>
  <c r="AJ6" i="13"/>
  <c r="AL7" i="12"/>
  <c r="AK6" i="12"/>
  <c r="AK7" i="11"/>
  <c r="AJ6" i="11"/>
  <c r="AK7" i="10"/>
  <c r="AJ6" i="10"/>
  <c r="AI23" i="9"/>
  <c r="AI19" i="9"/>
  <c r="AI15" i="9"/>
  <c r="AI11" i="9"/>
  <c r="AI22" i="9"/>
  <c r="AI18" i="9"/>
  <c r="AI14" i="9"/>
  <c r="AI10" i="9"/>
  <c r="AI21" i="9"/>
  <c r="AI17" i="9"/>
  <c r="AI13" i="9"/>
  <c r="AI9" i="9"/>
  <c r="AI12" i="9"/>
  <c r="AI24" i="9"/>
  <c r="AI16" i="9"/>
  <c r="AI8" i="9"/>
  <c r="AI20" i="9"/>
  <c r="AK7" i="9"/>
  <c r="AJ6" i="9"/>
  <c r="AJ7" i="8"/>
  <c r="AI6" i="8"/>
  <c r="AK7" i="7"/>
  <c r="AJ6" i="7"/>
  <c r="AJ7" i="5"/>
  <c r="AI6" i="5"/>
  <c r="AJ6" i="4"/>
  <c r="AK7" i="4"/>
  <c r="AO6" i="2"/>
  <c r="AN6" i="2"/>
  <c r="AI23" i="6" l="1"/>
  <c r="AI19" i="6"/>
  <c r="AI15" i="6"/>
  <c r="AI11" i="6"/>
  <c r="AI22" i="6"/>
  <c r="AI21" i="6"/>
  <c r="AI24" i="6"/>
  <c r="AI18" i="6"/>
  <c r="AI8" i="6"/>
  <c r="AI14" i="6"/>
  <c r="AI13" i="6"/>
  <c r="AI12" i="6"/>
  <c r="AI17" i="6"/>
  <c r="AI16" i="6"/>
  <c r="AI10" i="6"/>
  <c r="AI20" i="6"/>
  <c r="AI9" i="6"/>
  <c r="AK7" i="6"/>
  <c r="AJ6" i="6"/>
  <c r="AJ23" i="14"/>
  <c r="AJ19" i="14"/>
  <c r="AJ15" i="14"/>
  <c r="AJ11" i="14"/>
  <c r="AJ22" i="14"/>
  <c r="AJ18" i="14"/>
  <c r="AJ14" i="14"/>
  <c r="AJ10" i="14"/>
  <c r="AJ21" i="14"/>
  <c r="AJ24" i="14"/>
  <c r="AJ20" i="14"/>
  <c r="AJ16" i="14"/>
  <c r="AJ12" i="14"/>
  <c r="AJ13" i="14"/>
  <c r="AJ9" i="14"/>
  <c r="AJ17" i="14"/>
  <c r="AJ8" i="14"/>
  <c r="AL7" i="14"/>
  <c r="AK6" i="14"/>
  <c r="AL7" i="13"/>
  <c r="AK6" i="13"/>
  <c r="AM7" i="12"/>
  <c r="AL6" i="12"/>
  <c r="AJ23" i="11"/>
  <c r="AJ19" i="11"/>
  <c r="AJ15" i="11"/>
  <c r="AJ11" i="11"/>
  <c r="AJ22" i="11"/>
  <c r="AJ18" i="11"/>
  <c r="AJ14" i="11"/>
  <c r="AJ10" i="11"/>
  <c r="AJ21" i="11"/>
  <c r="AJ17" i="11"/>
  <c r="AJ13" i="11"/>
  <c r="AJ24" i="11"/>
  <c r="AJ20" i="11"/>
  <c r="AJ16" i="11"/>
  <c r="AJ12" i="11"/>
  <c r="AJ8" i="11"/>
  <c r="AJ9" i="11"/>
  <c r="AL7" i="11"/>
  <c r="AK6" i="11"/>
  <c r="AL7" i="10"/>
  <c r="AK6" i="10"/>
  <c r="AL7" i="9"/>
  <c r="AK6" i="9"/>
  <c r="AK7" i="8"/>
  <c r="AJ6" i="8"/>
  <c r="AL7" i="7"/>
  <c r="AK6" i="7"/>
  <c r="AK7" i="5"/>
  <c r="AJ6" i="5"/>
  <c r="AL7" i="4"/>
  <c r="AK6" i="4"/>
  <c r="AW9" i="2"/>
  <c r="AW12" i="2"/>
  <c r="I9" i="2"/>
  <c r="I24" i="2"/>
  <c r="I20" i="2"/>
  <c r="I16" i="2"/>
  <c r="I8" i="2"/>
  <c r="I17" i="2"/>
  <c r="I21" i="2"/>
  <c r="I13" i="2"/>
  <c r="I23" i="2"/>
  <c r="I15" i="2"/>
  <c r="I22" i="2"/>
  <c r="I10" i="2"/>
  <c r="I19" i="2"/>
  <c r="I12" i="2"/>
  <c r="I14" i="2"/>
  <c r="I11" i="2"/>
  <c r="I18" i="2"/>
  <c r="AL7" i="6" l="1"/>
  <c r="AK6" i="6"/>
  <c r="AL6" i="14"/>
  <c r="AM7" i="14"/>
  <c r="AM7" i="13"/>
  <c r="AL6" i="13"/>
  <c r="AM6" i="12"/>
  <c r="AN7" i="12"/>
  <c r="AL6" i="11"/>
  <c r="AM7" i="11"/>
  <c r="AM7" i="10"/>
  <c r="AL6" i="10"/>
  <c r="AL6" i="9"/>
  <c r="AM7" i="9"/>
  <c r="AL7" i="8"/>
  <c r="AK6" i="8"/>
  <c r="AM7" i="7"/>
  <c r="AL6" i="7"/>
  <c r="AK6" i="5"/>
  <c r="AL7" i="5"/>
  <c r="AM7" i="4"/>
  <c r="AL6" i="4"/>
  <c r="AX9" i="2"/>
  <c r="BB9" i="2" s="1"/>
  <c r="AX12" i="2"/>
  <c r="AX11" i="2"/>
  <c r="AY11" i="2"/>
  <c r="AY12" i="2"/>
  <c r="AW11" i="2"/>
  <c r="AY9" i="2"/>
  <c r="AY16" i="2"/>
  <c r="AX16" i="2"/>
  <c r="AW16" i="2"/>
  <c r="AY8" i="2"/>
  <c r="AW8" i="2"/>
  <c r="AX8" i="2"/>
  <c r="AX22" i="2"/>
  <c r="AY22" i="2"/>
  <c r="AW22" i="2"/>
  <c r="AY24" i="2"/>
  <c r="AX24" i="2"/>
  <c r="AW24" i="2"/>
  <c r="AY10" i="2"/>
  <c r="AX10" i="2"/>
  <c r="AW10" i="2"/>
  <c r="AX21" i="2"/>
  <c r="AW21" i="2"/>
  <c r="AY21" i="2"/>
  <c r="AW19" i="2"/>
  <c r="AX19" i="2"/>
  <c r="AY19" i="2"/>
  <c r="AY18" i="2"/>
  <c r="AW18" i="2"/>
  <c r="AX18" i="2"/>
  <c r="AZ15" i="2"/>
  <c r="AZ23" i="2"/>
  <c r="AZ8" i="2"/>
  <c r="AZ16" i="2"/>
  <c r="AZ24" i="2"/>
  <c r="AZ9" i="2"/>
  <c r="AZ17" i="2"/>
  <c r="AZ10" i="2"/>
  <c r="AZ18" i="2"/>
  <c r="AZ11" i="2"/>
  <c r="AZ19" i="2"/>
  <c r="AZ14" i="2"/>
  <c r="AZ22" i="2"/>
  <c r="AZ12" i="2"/>
  <c r="AZ20" i="2"/>
  <c r="AZ13" i="2"/>
  <c r="AZ21" i="2"/>
  <c r="AW14" i="2"/>
  <c r="AX14" i="2"/>
  <c r="AY14" i="2"/>
  <c r="AX20" i="2"/>
  <c r="AW20" i="2"/>
  <c r="AY20" i="2"/>
  <c r="AW13" i="2"/>
  <c r="AX13" i="2"/>
  <c r="AY13" i="2"/>
  <c r="AW23" i="2"/>
  <c r="AY23" i="2"/>
  <c r="AX23" i="2"/>
  <c r="AY17" i="2"/>
  <c r="AW17" i="2"/>
  <c r="AX17" i="2"/>
  <c r="AY15" i="2"/>
  <c r="AW15" i="2"/>
  <c r="AX15" i="2"/>
  <c r="AL6" i="6" l="1"/>
  <c r="AM7" i="6"/>
  <c r="AN7" i="14"/>
  <c r="AM6" i="14"/>
  <c r="AL22" i="13"/>
  <c r="AL18" i="13"/>
  <c r="AL14" i="13"/>
  <c r="AL10" i="13"/>
  <c r="AL21" i="13"/>
  <c r="AL17" i="13"/>
  <c r="AL13" i="13"/>
  <c r="AL24" i="13"/>
  <c r="AL20" i="13"/>
  <c r="AL16" i="13"/>
  <c r="AL12" i="13"/>
  <c r="AL23" i="13"/>
  <c r="AL19" i="13"/>
  <c r="AL15" i="13"/>
  <c r="AL11" i="13"/>
  <c r="AL8" i="13"/>
  <c r="AL9" i="13"/>
  <c r="AN7" i="13"/>
  <c r="AM6" i="13"/>
  <c r="AO6" i="12"/>
  <c r="AN6" i="12"/>
  <c r="AN7" i="11"/>
  <c r="AM6" i="11"/>
  <c r="AM6" i="10"/>
  <c r="AN7" i="10"/>
  <c r="AM6" i="9"/>
  <c r="AN7" i="9"/>
  <c r="AK22" i="8"/>
  <c r="AK18" i="8"/>
  <c r="AK21" i="8"/>
  <c r="AK24" i="8"/>
  <c r="AK20" i="8"/>
  <c r="AK16" i="8"/>
  <c r="AK12" i="8"/>
  <c r="AK9" i="8"/>
  <c r="AK19" i="8"/>
  <c r="AK8" i="8"/>
  <c r="AK11" i="8"/>
  <c r="AK10" i="8"/>
  <c r="AK15" i="8"/>
  <c r="AK14" i="8"/>
  <c r="AK13" i="8"/>
  <c r="AK23" i="8"/>
  <c r="AK17" i="8"/>
  <c r="AM7" i="8"/>
  <c r="AL6" i="8"/>
  <c r="AN7" i="7"/>
  <c r="AM6" i="7"/>
  <c r="AM7" i="5"/>
  <c r="AL6" i="5"/>
  <c r="AL14" i="4"/>
  <c r="AL10" i="4"/>
  <c r="AL13" i="4"/>
  <c r="AL15" i="4"/>
  <c r="AL11" i="4"/>
  <c r="AL12" i="4"/>
  <c r="AL9" i="4"/>
  <c r="AL8" i="4"/>
  <c r="AN7" i="4"/>
  <c r="AM6" i="4"/>
  <c r="BE9" i="2"/>
  <c r="BF9" i="2" s="1"/>
  <c r="BB11" i="2"/>
  <c r="BE11" i="2"/>
  <c r="BF11" i="2" s="1"/>
  <c r="BB12" i="2"/>
  <c r="BE12" i="2"/>
  <c r="BF12" i="2" s="1"/>
  <c r="BB21" i="2"/>
  <c r="BE21" i="2"/>
  <c r="BF21" i="2" s="1"/>
  <c r="BB22" i="2"/>
  <c r="BE22" i="2"/>
  <c r="BF22" i="2" s="1"/>
  <c r="BB18" i="2"/>
  <c r="BE18" i="2"/>
  <c r="BF18" i="2" s="1"/>
  <c r="BB23" i="2"/>
  <c r="BE23" i="2"/>
  <c r="BF23" i="2" s="1"/>
  <c r="BB20" i="2"/>
  <c r="BE20" i="2"/>
  <c r="BF20" i="2" s="1"/>
  <c r="BB17" i="2"/>
  <c r="BE17" i="2"/>
  <c r="BF17" i="2" s="1"/>
  <c r="BB19" i="2"/>
  <c r="BE19" i="2"/>
  <c r="BF19" i="2" s="1"/>
  <c r="BB14" i="2"/>
  <c r="BE14" i="2"/>
  <c r="BF14" i="2" s="1"/>
  <c r="BB24" i="2"/>
  <c r="BE24" i="2"/>
  <c r="BF24" i="2" s="1"/>
  <c r="BB16" i="2"/>
  <c r="BE16" i="2"/>
  <c r="BF16" i="2" s="1"/>
  <c r="BB10" i="2"/>
  <c r="BE10" i="2"/>
  <c r="BF10" i="2" s="1"/>
  <c r="BB15" i="2"/>
  <c r="BE15" i="2"/>
  <c r="BF15" i="2" s="1"/>
  <c r="BB13" i="2"/>
  <c r="BE13" i="2"/>
  <c r="BF13" i="2" s="1"/>
  <c r="BB8" i="2"/>
  <c r="BE8" i="2"/>
  <c r="BF8" i="2" s="1"/>
  <c r="AM6" i="6" l="1"/>
  <c r="AN7" i="6"/>
  <c r="AO6" i="14"/>
  <c r="AN6" i="14"/>
  <c r="AN6" i="13"/>
  <c r="AO6" i="13"/>
  <c r="I17" i="12"/>
  <c r="I21" i="12"/>
  <c r="I8" i="12"/>
  <c r="I19" i="12"/>
  <c r="I20" i="12"/>
  <c r="I13" i="12"/>
  <c r="I23" i="12"/>
  <c r="I10" i="12"/>
  <c r="I14" i="12"/>
  <c r="I12" i="12"/>
  <c r="I16" i="12"/>
  <c r="I24" i="12"/>
  <c r="I18" i="12"/>
  <c r="I11" i="12"/>
  <c r="I15" i="12"/>
  <c r="I22" i="12"/>
  <c r="I9" i="12"/>
  <c r="AN6" i="11"/>
  <c r="AO6" i="11"/>
  <c r="AN6" i="10"/>
  <c r="AO6" i="10"/>
  <c r="AM21" i="10"/>
  <c r="AM17" i="10"/>
  <c r="AM24" i="10"/>
  <c r="AM20" i="10"/>
  <c r="AM16" i="10"/>
  <c r="AM12" i="10"/>
  <c r="AM23" i="10"/>
  <c r="AM19" i="10"/>
  <c r="AM15" i="10"/>
  <c r="AM11" i="10"/>
  <c r="AM18" i="10"/>
  <c r="AM8" i="10"/>
  <c r="AM22" i="10"/>
  <c r="AM10" i="10"/>
  <c r="AM9" i="10"/>
  <c r="AM14" i="10"/>
  <c r="AM13" i="10"/>
  <c r="AO6" i="9"/>
  <c r="AN6" i="9"/>
  <c r="AN7" i="8"/>
  <c r="AM6" i="8"/>
  <c r="AO6" i="7"/>
  <c r="AN6" i="7"/>
  <c r="AL22" i="5"/>
  <c r="AL18" i="5"/>
  <c r="AL14" i="5"/>
  <c r="AL10" i="5"/>
  <c r="AL21" i="5"/>
  <c r="AL17" i="5"/>
  <c r="AL13" i="5"/>
  <c r="AL9" i="5"/>
  <c r="AL24" i="5"/>
  <c r="AL20" i="5"/>
  <c r="AL16" i="5"/>
  <c r="AL12" i="5"/>
  <c r="AL23" i="5"/>
  <c r="AL19" i="5"/>
  <c r="AL15" i="5"/>
  <c r="AL11" i="5"/>
  <c r="AL8" i="5"/>
  <c r="AN7" i="5"/>
  <c r="AM6" i="5"/>
  <c r="AM12" i="4"/>
  <c r="AM14" i="4"/>
  <c r="AM10" i="4"/>
  <c r="AM13" i="4"/>
  <c r="AM11" i="4"/>
  <c r="AM15" i="4"/>
  <c r="AM9" i="4"/>
  <c r="AM8" i="4"/>
  <c r="AO6" i="4"/>
  <c r="AN6" i="4"/>
  <c r="AO6" i="6" l="1"/>
  <c r="AN6" i="6"/>
  <c r="I8" i="14"/>
  <c r="I16" i="14"/>
  <c r="I13" i="14"/>
  <c r="I22" i="14"/>
  <c r="I23" i="14"/>
  <c r="I15" i="14"/>
  <c r="I10" i="14"/>
  <c r="I17" i="14"/>
  <c r="I20" i="14"/>
  <c r="I18" i="14"/>
  <c r="I14" i="14"/>
  <c r="I11" i="14"/>
  <c r="I12" i="14"/>
  <c r="I19" i="14"/>
  <c r="I24" i="14"/>
  <c r="I9" i="14"/>
  <c r="I21" i="14"/>
  <c r="I9" i="13"/>
  <c r="I8" i="13"/>
  <c r="I23" i="13"/>
  <c r="I14" i="13"/>
  <c r="I22" i="13"/>
  <c r="I10" i="13"/>
  <c r="I19" i="13"/>
  <c r="I17" i="13"/>
  <c r="I18" i="13"/>
  <c r="I11" i="13"/>
  <c r="I12" i="13"/>
  <c r="I13" i="13"/>
  <c r="I21" i="13"/>
  <c r="I24" i="13"/>
  <c r="I15" i="13"/>
  <c r="I20" i="13"/>
  <c r="I16" i="13"/>
  <c r="AX12" i="12"/>
  <c r="AW12" i="12"/>
  <c r="AY12" i="12"/>
  <c r="AX15" i="12"/>
  <c r="AY15" i="12"/>
  <c r="AW15" i="12"/>
  <c r="AW8" i="12"/>
  <c r="AY8" i="12"/>
  <c r="AX8" i="12"/>
  <c r="AW19" i="12"/>
  <c r="AX19" i="12"/>
  <c r="AY19" i="12"/>
  <c r="AW10" i="12"/>
  <c r="AX10" i="12"/>
  <c r="AY10" i="12"/>
  <c r="AW20" i="12"/>
  <c r="AX20" i="12"/>
  <c r="AY20" i="12"/>
  <c r="AZ22" i="12"/>
  <c r="AZ18" i="12"/>
  <c r="AZ21" i="12"/>
  <c r="AZ17" i="12"/>
  <c r="AZ13" i="12"/>
  <c r="AZ9" i="12"/>
  <c r="AZ24" i="12"/>
  <c r="AZ20" i="12"/>
  <c r="AZ16" i="12"/>
  <c r="AZ12" i="12"/>
  <c r="AZ19" i="12"/>
  <c r="AZ11" i="12"/>
  <c r="AZ10" i="12"/>
  <c r="AZ15" i="12"/>
  <c r="AZ14" i="12"/>
  <c r="AZ23" i="12"/>
  <c r="AZ8" i="12"/>
  <c r="AW14" i="12"/>
  <c r="AX14" i="12"/>
  <c r="AY14" i="12"/>
  <c r="AX24" i="12"/>
  <c r="AY24" i="12"/>
  <c r="AW24" i="12"/>
  <c r="AW23" i="12"/>
  <c r="AX23" i="12"/>
  <c r="AY23" i="12"/>
  <c r="AY18" i="12"/>
  <c r="AW18" i="12"/>
  <c r="AX18" i="12"/>
  <c r="AW13" i="12"/>
  <c r="AX13" i="12"/>
  <c r="AY13" i="12"/>
  <c r="AX22" i="12"/>
  <c r="AY22" i="12"/>
  <c r="AW22" i="12"/>
  <c r="AY17" i="12"/>
  <c r="AW17" i="12"/>
  <c r="AX17" i="12"/>
  <c r="AY9" i="12"/>
  <c r="AX9" i="12"/>
  <c r="AW9" i="12"/>
  <c r="AX16" i="12"/>
  <c r="AW16" i="12"/>
  <c r="AY16" i="12"/>
  <c r="AY11" i="12"/>
  <c r="AW11" i="12"/>
  <c r="AX11" i="12"/>
  <c r="AY21" i="12"/>
  <c r="AX21" i="12"/>
  <c r="AW21" i="12"/>
  <c r="I11" i="11"/>
  <c r="I23" i="11"/>
  <c r="I18" i="11"/>
  <c r="I20" i="11"/>
  <c r="I10" i="11"/>
  <c r="I12" i="11"/>
  <c r="I21" i="11"/>
  <c r="I19" i="11"/>
  <c r="I15" i="11"/>
  <c r="I22" i="11"/>
  <c r="I9" i="11"/>
  <c r="I17" i="11"/>
  <c r="I14" i="11"/>
  <c r="I8" i="11"/>
  <c r="I24" i="11"/>
  <c r="I16" i="11"/>
  <c r="I13" i="11"/>
  <c r="I8" i="10"/>
  <c r="I23" i="10"/>
  <c r="I22" i="10"/>
  <c r="I12" i="10"/>
  <c r="I20" i="10"/>
  <c r="I11" i="10"/>
  <c r="I21" i="10"/>
  <c r="I9" i="10"/>
  <c r="I15" i="10"/>
  <c r="I14" i="10"/>
  <c r="I19" i="10"/>
  <c r="I18" i="10"/>
  <c r="I24" i="10"/>
  <c r="I10" i="10"/>
  <c r="I16" i="10"/>
  <c r="I13" i="10"/>
  <c r="I17" i="10"/>
  <c r="I24" i="9"/>
  <c r="I13" i="9"/>
  <c r="I16" i="9"/>
  <c r="I20" i="9"/>
  <c r="I19" i="9"/>
  <c r="I8" i="9"/>
  <c r="I22" i="9"/>
  <c r="I23" i="9"/>
  <c r="I11" i="9"/>
  <c r="I21" i="9"/>
  <c r="I10" i="9"/>
  <c r="I17" i="9"/>
  <c r="I9" i="9"/>
  <c r="I14" i="9"/>
  <c r="I12" i="9"/>
  <c r="I15" i="9"/>
  <c r="I18" i="9"/>
  <c r="AN6" i="8"/>
  <c r="AO6" i="8"/>
  <c r="AN21" i="7"/>
  <c r="AN17" i="7"/>
  <c r="AN13" i="7"/>
  <c r="AN9" i="7"/>
  <c r="AN24" i="7"/>
  <c r="AN20" i="7"/>
  <c r="AN16" i="7"/>
  <c r="AN12" i="7"/>
  <c r="AN23" i="7"/>
  <c r="AN19" i="7"/>
  <c r="AN15" i="7"/>
  <c r="AN11" i="7"/>
  <c r="AN18" i="7"/>
  <c r="AN14" i="7"/>
  <c r="AN8" i="7"/>
  <c r="AN10" i="7"/>
  <c r="AN22" i="7"/>
  <c r="I21" i="7"/>
  <c r="I14" i="7"/>
  <c r="I17" i="7"/>
  <c r="I11" i="7"/>
  <c r="I13" i="7"/>
  <c r="I9" i="7"/>
  <c r="I19" i="7"/>
  <c r="I12" i="7"/>
  <c r="I20" i="7"/>
  <c r="I18" i="7"/>
  <c r="I16" i="7"/>
  <c r="I24" i="7"/>
  <c r="I10" i="7"/>
  <c r="I15" i="7"/>
  <c r="I23" i="7"/>
  <c r="I8" i="7"/>
  <c r="I22" i="7"/>
  <c r="AN6" i="5"/>
  <c r="AO6" i="5"/>
  <c r="AN21" i="4"/>
  <c r="AN17" i="4"/>
  <c r="AN13" i="4"/>
  <c r="AN9" i="4"/>
  <c r="AN24" i="4"/>
  <c r="AN20" i="4"/>
  <c r="AN16" i="4"/>
  <c r="AN12" i="4"/>
  <c r="AN23" i="4"/>
  <c r="AN22" i="4"/>
  <c r="AN18" i="4"/>
  <c r="AN14" i="4"/>
  <c r="AN10" i="4"/>
  <c r="AN11" i="4"/>
  <c r="AN15" i="4"/>
  <c r="AN19" i="4"/>
  <c r="AN8" i="4"/>
  <c r="I8" i="4"/>
  <c r="I10" i="4"/>
  <c r="I14" i="4"/>
  <c r="I18" i="4"/>
  <c r="I21" i="4"/>
  <c r="I23" i="4"/>
  <c r="I9" i="4"/>
  <c r="I11" i="4"/>
  <c r="I16" i="4"/>
  <c r="I24" i="4"/>
  <c r="I20" i="4"/>
  <c r="I19" i="4"/>
  <c r="I17" i="4"/>
  <c r="I15" i="4"/>
  <c r="I22" i="4"/>
  <c r="I13" i="4"/>
  <c r="I12" i="4"/>
  <c r="I18" i="6" l="1"/>
  <c r="I10" i="6"/>
  <c r="I20" i="6"/>
  <c r="I11" i="6"/>
  <c r="I21" i="6"/>
  <c r="I14" i="6"/>
  <c r="I24" i="6"/>
  <c r="I8" i="6"/>
  <c r="I19" i="6"/>
  <c r="I22" i="6"/>
  <c r="I16" i="6"/>
  <c r="I9" i="6"/>
  <c r="I17" i="6"/>
  <c r="I23" i="6"/>
  <c r="I13" i="6"/>
  <c r="I12" i="6"/>
  <c r="I15" i="6"/>
  <c r="AX12" i="14"/>
  <c r="AW12" i="14"/>
  <c r="AY12" i="14"/>
  <c r="AW8" i="14"/>
  <c r="AX8" i="14"/>
  <c r="AY8" i="14"/>
  <c r="AY16" i="14"/>
  <c r="AX16" i="14"/>
  <c r="AW16" i="14"/>
  <c r="AY10" i="14"/>
  <c r="AX10" i="14"/>
  <c r="AW10" i="14"/>
  <c r="AW20" i="14"/>
  <c r="AY20" i="14"/>
  <c r="AX20" i="14"/>
  <c r="AX14" i="14"/>
  <c r="AW14" i="14"/>
  <c r="AY14" i="14"/>
  <c r="AX24" i="14"/>
  <c r="AW24" i="14"/>
  <c r="AY24" i="14"/>
  <c r="AX18" i="14"/>
  <c r="AW18" i="14"/>
  <c r="AY18" i="14"/>
  <c r="AX9" i="14"/>
  <c r="AW9" i="14"/>
  <c r="AY9" i="14"/>
  <c r="AY22" i="14"/>
  <c r="AX22" i="14"/>
  <c r="AW22" i="14"/>
  <c r="AX13" i="14"/>
  <c r="AY13" i="14"/>
  <c r="AW13" i="14"/>
  <c r="AZ22" i="14"/>
  <c r="AZ21" i="14"/>
  <c r="AZ17" i="14"/>
  <c r="AZ13" i="14"/>
  <c r="AZ24" i="14"/>
  <c r="AZ20" i="14"/>
  <c r="AZ16" i="14"/>
  <c r="AZ12" i="14"/>
  <c r="AZ8" i="14"/>
  <c r="AZ9" i="14"/>
  <c r="AZ19" i="14"/>
  <c r="AZ11" i="14"/>
  <c r="AZ10" i="14"/>
  <c r="AZ15" i="14"/>
  <c r="AZ14" i="14"/>
  <c r="AZ23" i="14"/>
  <c r="AZ18" i="14"/>
  <c r="AX19" i="14"/>
  <c r="AW19" i="14"/>
  <c r="AY19" i="14"/>
  <c r="AX17" i="14"/>
  <c r="AY17" i="14"/>
  <c r="AW17" i="14"/>
  <c r="AW15" i="14"/>
  <c r="AX15" i="14"/>
  <c r="AY15" i="14"/>
  <c r="AY11" i="14"/>
  <c r="AW11" i="14"/>
  <c r="AX11" i="14"/>
  <c r="AY23" i="14"/>
  <c r="AX23" i="14"/>
  <c r="AW23" i="14"/>
  <c r="AW21" i="14"/>
  <c r="AY21" i="14"/>
  <c r="AX21" i="14"/>
  <c r="AW23" i="13"/>
  <c r="AY23" i="13"/>
  <c r="AX23" i="13"/>
  <c r="AX10" i="13"/>
  <c r="AW10" i="13"/>
  <c r="AY10" i="13"/>
  <c r="AW16" i="13"/>
  <c r="AX16" i="13"/>
  <c r="AY16" i="13"/>
  <c r="AW8" i="13"/>
  <c r="AX8" i="13"/>
  <c r="AY8" i="13"/>
  <c r="AX14" i="13"/>
  <c r="AW14" i="13"/>
  <c r="AY14" i="13"/>
  <c r="AY20" i="13"/>
  <c r="AW20" i="13"/>
  <c r="AX20" i="13"/>
  <c r="AW18" i="13"/>
  <c r="AY18" i="13"/>
  <c r="AX18" i="13"/>
  <c r="AY24" i="13"/>
  <c r="AW24" i="13"/>
  <c r="AX24" i="13"/>
  <c r="AX22" i="13"/>
  <c r="AY22" i="13"/>
  <c r="AW22" i="13"/>
  <c r="AY9" i="13"/>
  <c r="AX9" i="13"/>
  <c r="AW9" i="13"/>
  <c r="AZ22" i="13"/>
  <c r="AZ18" i="13"/>
  <c r="AZ14" i="13"/>
  <c r="AZ21" i="13"/>
  <c r="AZ17" i="13"/>
  <c r="AZ13" i="13"/>
  <c r="AZ9" i="13"/>
  <c r="AZ24" i="13"/>
  <c r="AZ20" i="13"/>
  <c r="AZ16" i="13"/>
  <c r="AZ12" i="13"/>
  <c r="AZ8" i="13"/>
  <c r="AZ19" i="13"/>
  <c r="AZ15" i="13"/>
  <c r="AZ23" i="13"/>
  <c r="AZ11" i="13"/>
  <c r="AZ10" i="13"/>
  <c r="AW11" i="13"/>
  <c r="AY11" i="13"/>
  <c r="AX11" i="13"/>
  <c r="AW13" i="13"/>
  <c r="AX13" i="13"/>
  <c r="AY13" i="13"/>
  <c r="AY15" i="13"/>
  <c r="AW15" i="13"/>
  <c r="AX15" i="13"/>
  <c r="AY17" i="13"/>
  <c r="AW17" i="13"/>
  <c r="AX17" i="13"/>
  <c r="AW12" i="13"/>
  <c r="AX12" i="13"/>
  <c r="AY12" i="13"/>
  <c r="AW19" i="13"/>
  <c r="AY19" i="13"/>
  <c r="AX19" i="13"/>
  <c r="AY21" i="13"/>
  <c r="AX21" i="13"/>
  <c r="AW21" i="13"/>
  <c r="BB18" i="12"/>
  <c r="BE18" i="12"/>
  <c r="BF18" i="12" s="1"/>
  <c r="BB24" i="12"/>
  <c r="BE24" i="12"/>
  <c r="BF24" i="12" s="1"/>
  <c r="BB17" i="12"/>
  <c r="BE17" i="12"/>
  <c r="BF17" i="12" s="1"/>
  <c r="BB10" i="12"/>
  <c r="BE10" i="12"/>
  <c r="BF10" i="12" s="1"/>
  <c r="BB16" i="12"/>
  <c r="BE16" i="12"/>
  <c r="BF16" i="12" s="1"/>
  <c r="BB15" i="12"/>
  <c r="BE15" i="12"/>
  <c r="BF15" i="12" s="1"/>
  <c r="BB21" i="12"/>
  <c r="BE21" i="12"/>
  <c r="BF21" i="12" s="1"/>
  <c r="BB22" i="12"/>
  <c r="BE22" i="12"/>
  <c r="BF22" i="12" s="1"/>
  <c r="BB23" i="12"/>
  <c r="BE23" i="12"/>
  <c r="BF23" i="12" s="1"/>
  <c r="BB19" i="12"/>
  <c r="BE19" i="12"/>
  <c r="BF19" i="12" s="1"/>
  <c r="BB14" i="12"/>
  <c r="BE14" i="12"/>
  <c r="BF14" i="12" s="1"/>
  <c r="BB9" i="12"/>
  <c r="BE9" i="12"/>
  <c r="BF9" i="12" s="1"/>
  <c r="BB11" i="12"/>
  <c r="BE11" i="12"/>
  <c r="BF11" i="12" s="1"/>
  <c r="BB13" i="12"/>
  <c r="BE13" i="12"/>
  <c r="BF13" i="12" s="1"/>
  <c r="BB20" i="12"/>
  <c r="BE20" i="12"/>
  <c r="BF20" i="12" s="1"/>
  <c r="BB8" i="12"/>
  <c r="BE8" i="12"/>
  <c r="BF8" i="12" s="1"/>
  <c r="BB12" i="12"/>
  <c r="BE12" i="12"/>
  <c r="BF12" i="12" s="1"/>
  <c r="AZ22" i="11"/>
  <c r="AZ18" i="11"/>
  <c r="AZ21" i="11"/>
  <c r="AZ17" i="11"/>
  <c r="AZ13" i="11"/>
  <c r="AZ9" i="11"/>
  <c r="AZ24" i="11"/>
  <c r="AZ20" i="11"/>
  <c r="AZ16" i="11"/>
  <c r="AZ12" i="11"/>
  <c r="AZ11" i="11"/>
  <c r="AZ10" i="11"/>
  <c r="AZ19" i="11"/>
  <c r="AZ14" i="11"/>
  <c r="AZ23" i="11"/>
  <c r="AZ15" i="11"/>
  <c r="AZ8" i="11"/>
  <c r="AX14" i="11"/>
  <c r="AW14" i="11"/>
  <c r="AY14" i="11"/>
  <c r="AY16" i="11"/>
  <c r="AW16" i="11"/>
  <c r="AX16" i="11"/>
  <c r="AX18" i="11"/>
  <c r="AW18" i="11"/>
  <c r="AY18" i="11"/>
  <c r="AY20" i="11"/>
  <c r="AX20" i="11"/>
  <c r="AW20" i="11"/>
  <c r="AY22" i="11"/>
  <c r="AX22" i="11"/>
  <c r="AW22" i="11"/>
  <c r="AW24" i="11"/>
  <c r="AX24" i="11"/>
  <c r="AY24" i="11"/>
  <c r="AY11" i="11"/>
  <c r="AX11" i="11"/>
  <c r="AW11" i="11"/>
  <c r="AW9" i="11"/>
  <c r="AX9" i="11"/>
  <c r="AY9" i="11"/>
  <c r="AY15" i="11"/>
  <c r="AX15" i="11"/>
  <c r="AW15" i="11"/>
  <c r="AY13" i="11"/>
  <c r="AX13" i="11"/>
  <c r="AW13" i="11"/>
  <c r="AW12" i="11"/>
  <c r="AY12" i="11"/>
  <c r="AX12" i="11"/>
  <c r="AY19" i="11"/>
  <c r="AW19" i="11"/>
  <c r="AX19" i="11"/>
  <c r="AW17" i="11"/>
  <c r="AX17" i="11"/>
  <c r="AY17" i="11"/>
  <c r="AY10" i="11"/>
  <c r="AX10" i="11"/>
  <c r="AW10" i="11"/>
  <c r="AW8" i="11"/>
  <c r="AY8" i="11"/>
  <c r="AX8" i="11"/>
  <c r="AW23" i="11"/>
  <c r="AY23" i="11"/>
  <c r="AX23" i="11"/>
  <c r="AY21" i="11"/>
  <c r="AX21" i="11"/>
  <c r="AW21" i="11"/>
  <c r="AY8" i="10"/>
  <c r="AX8" i="10"/>
  <c r="AW8" i="10"/>
  <c r="AW23" i="10"/>
  <c r="AX23" i="10"/>
  <c r="AY23" i="10"/>
  <c r="AX10" i="10"/>
  <c r="AY10" i="10"/>
  <c r="AW10" i="10"/>
  <c r="AX20" i="10"/>
  <c r="AY20" i="10"/>
  <c r="AW20" i="10"/>
  <c r="AW19" i="10"/>
  <c r="AY19" i="10"/>
  <c r="AX19" i="10"/>
  <c r="AX14" i="10"/>
  <c r="AW14" i="10"/>
  <c r="AY14" i="10"/>
  <c r="AW24" i="10"/>
  <c r="AY24" i="10"/>
  <c r="AX24" i="10"/>
  <c r="AX18" i="10"/>
  <c r="AW18" i="10"/>
  <c r="AY18" i="10"/>
  <c r="AY9" i="10"/>
  <c r="AX9" i="10"/>
  <c r="AW9" i="10"/>
  <c r="AX22" i="10"/>
  <c r="AY22" i="10"/>
  <c r="AW22" i="10"/>
  <c r="AX13" i="10"/>
  <c r="AW13" i="10"/>
  <c r="AY13" i="10"/>
  <c r="AZ22" i="10"/>
  <c r="AZ18" i="10"/>
  <c r="AZ21" i="10"/>
  <c r="AZ17" i="10"/>
  <c r="AZ13" i="10"/>
  <c r="AZ9" i="10"/>
  <c r="AZ24" i="10"/>
  <c r="AZ20" i="10"/>
  <c r="AZ16" i="10"/>
  <c r="AZ12" i="10"/>
  <c r="AZ19" i="10"/>
  <c r="AZ8" i="10"/>
  <c r="AZ11" i="10"/>
  <c r="AZ10" i="10"/>
  <c r="AZ14" i="10"/>
  <c r="AZ23" i="10"/>
  <c r="AZ15" i="10"/>
  <c r="AX11" i="10"/>
  <c r="AW11" i="10"/>
  <c r="AY11" i="10"/>
  <c r="AW17" i="10"/>
  <c r="AY17" i="10"/>
  <c r="AX17" i="10"/>
  <c r="AY16" i="10"/>
  <c r="AX16" i="10"/>
  <c r="AW16" i="10"/>
  <c r="AY12" i="10"/>
  <c r="AW12" i="10"/>
  <c r="AX12" i="10"/>
  <c r="AY15" i="10"/>
  <c r="AW15" i="10"/>
  <c r="AX15" i="10"/>
  <c r="AY21" i="10"/>
  <c r="AW21" i="10"/>
  <c r="AX21" i="10"/>
  <c r="AZ22" i="9"/>
  <c r="AZ18" i="9"/>
  <c r="AZ14" i="9"/>
  <c r="AZ10" i="9"/>
  <c r="AZ21" i="9"/>
  <c r="AZ17" i="9"/>
  <c r="AZ13" i="9"/>
  <c r="AZ24" i="9"/>
  <c r="AZ20" i="9"/>
  <c r="AZ16" i="9"/>
  <c r="AZ12" i="9"/>
  <c r="AZ8" i="9"/>
  <c r="AZ19" i="9"/>
  <c r="AZ15" i="9"/>
  <c r="AZ9" i="9"/>
  <c r="AZ23" i="9"/>
  <c r="AZ11" i="9"/>
  <c r="AX10" i="9"/>
  <c r="AW10" i="9"/>
  <c r="AY10" i="9"/>
  <c r="AX12" i="9"/>
  <c r="AW12" i="9"/>
  <c r="AY12" i="9"/>
  <c r="AW14" i="9"/>
  <c r="AX14" i="9"/>
  <c r="AY14" i="9"/>
  <c r="AW16" i="9"/>
  <c r="AY16" i="9"/>
  <c r="AX16" i="9"/>
  <c r="AX18" i="9"/>
  <c r="AW18" i="9"/>
  <c r="AY18" i="9"/>
  <c r="AW20" i="9"/>
  <c r="AY20" i="9"/>
  <c r="AX20" i="9"/>
  <c r="AW22" i="9"/>
  <c r="AY22" i="9"/>
  <c r="AX22" i="9"/>
  <c r="AY24" i="9"/>
  <c r="AX24" i="9"/>
  <c r="AW24" i="9"/>
  <c r="AW23" i="9"/>
  <c r="AY23" i="9"/>
  <c r="AX23" i="9"/>
  <c r="AY11" i="9"/>
  <c r="AX11" i="9"/>
  <c r="AW11" i="9"/>
  <c r="AY13" i="9"/>
  <c r="AX13" i="9"/>
  <c r="AW13" i="9"/>
  <c r="AX9" i="9"/>
  <c r="AW9" i="9"/>
  <c r="AY9" i="9"/>
  <c r="AX15" i="9"/>
  <c r="AY15" i="9"/>
  <c r="AW15" i="9"/>
  <c r="AY17" i="9"/>
  <c r="AX17" i="9"/>
  <c r="AW17" i="9"/>
  <c r="AY8" i="9"/>
  <c r="AW8" i="9"/>
  <c r="AX8" i="9"/>
  <c r="AX19" i="9"/>
  <c r="AW19" i="9"/>
  <c r="AY19" i="9"/>
  <c r="AX21" i="9"/>
  <c r="AY21" i="9"/>
  <c r="AW21" i="9"/>
  <c r="AN21" i="8"/>
  <c r="AN17" i="8"/>
  <c r="AN13" i="8"/>
  <c r="AN9" i="8"/>
  <c r="AN24" i="8"/>
  <c r="AN20" i="8"/>
  <c r="AN16" i="8"/>
  <c r="AN12" i="8"/>
  <c r="AN23" i="8"/>
  <c r="AN19" i="8"/>
  <c r="AN15" i="8"/>
  <c r="AN11" i="8"/>
  <c r="AN22" i="8"/>
  <c r="AN18" i="8"/>
  <c r="AN14" i="8"/>
  <c r="AN10" i="8"/>
  <c r="AN8" i="8"/>
  <c r="I9" i="8"/>
  <c r="I23" i="8"/>
  <c r="I10" i="8"/>
  <c r="I13" i="8"/>
  <c r="I12" i="8"/>
  <c r="I20" i="8"/>
  <c r="I22" i="8"/>
  <c r="I21" i="8"/>
  <c r="I14" i="8"/>
  <c r="I24" i="8"/>
  <c r="I18" i="8"/>
  <c r="I8" i="8"/>
  <c r="I17" i="8"/>
  <c r="I19" i="8"/>
  <c r="I16" i="8"/>
  <c r="I15" i="8"/>
  <c r="I11" i="8"/>
  <c r="AX12" i="7"/>
  <c r="AY12" i="7"/>
  <c r="AW12" i="7"/>
  <c r="AY8" i="7"/>
  <c r="AX8" i="7"/>
  <c r="AW8" i="7"/>
  <c r="AW16" i="7"/>
  <c r="AX16" i="7"/>
  <c r="AY16" i="7"/>
  <c r="AY14" i="7"/>
  <c r="AW14" i="7"/>
  <c r="AX14" i="7"/>
  <c r="AY20" i="7"/>
  <c r="AW20" i="7"/>
  <c r="AX20" i="7"/>
  <c r="AW10" i="7"/>
  <c r="AY10" i="7"/>
  <c r="AX10" i="7"/>
  <c r="AW18" i="7"/>
  <c r="AY18" i="7"/>
  <c r="AX18" i="7"/>
  <c r="AW24" i="7"/>
  <c r="AX24" i="7"/>
  <c r="AY24" i="7"/>
  <c r="AY11" i="7"/>
  <c r="AW11" i="7"/>
  <c r="AX11" i="7"/>
  <c r="AY9" i="7"/>
  <c r="AX9" i="7"/>
  <c r="AW9" i="7"/>
  <c r="AW15" i="7"/>
  <c r="AY15" i="7"/>
  <c r="AX15" i="7"/>
  <c r="AX13" i="7"/>
  <c r="AW13" i="7"/>
  <c r="AY13" i="7"/>
  <c r="AX19" i="7"/>
  <c r="AY19" i="7"/>
  <c r="AW19" i="7"/>
  <c r="AX17" i="7"/>
  <c r="AY17" i="7"/>
  <c r="AW17" i="7"/>
  <c r="AZ22" i="7"/>
  <c r="AZ18" i="7"/>
  <c r="AZ14" i="7"/>
  <c r="AZ10" i="7"/>
  <c r="AZ21" i="7"/>
  <c r="AZ17" i="7"/>
  <c r="AZ13" i="7"/>
  <c r="AZ9" i="7"/>
  <c r="AZ24" i="7"/>
  <c r="AZ20" i="7"/>
  <c r="AZ16" i="7"/>
  <c r="AZ23" i="7"/>
  <c r="AZ12" i="7"/>
  <c r="AZ11" i="7"/>
  <c r="AZ19" i="7"/>
  <c r="AZ8" i="7"/>
  <c r="AZ15" i="7"/>
  <c r="AY22" i="7"/>
  <c r="AW22" i="7"/>
  <c r="AX22" i="7"/>
  <c r="AY23" i="7"/>
  <c r="AX23" i="7"/>
  <c r="AW23" i="7"/>
  <c r="AW21" i="7"/>
  <c r="AY21" i="7"/>
  <c r="AX21" i="7"/>
  <c r="I23" i="5"/>
  <c r="I21" i="5"/>
  <c r="I18" i="5"/>
  <c r="I9" i="5"/>
  <c r="I19" i="5"/>
  <c r="I8" i="5"/>
  <c r="I17" i="5"/>
  <c r="I13" i="5"/>
  <c r="I15" i="5"/>
  <c r="I14" i="5"/>
  <c r="I22" i="5"/>
  <c r="I10" i="5"/>
  <c r="I11" i="5"/>
  <c r="I16" i="5"/>
  <c r="I20" i="5"/>
  <c r="I12" i="5"/>
  <c r="I24" i="5"/>
  <c r="AY19" i="4"/>
  <c r="AX19" i="4"/>
  <c r="AW19" i="4"/>
  <c r="AY12" i="4"/>
  <c r="AW12" i="4"/>
  <c r="AX12" i="4"/>
  <c r="AY15" i="4"/>
  <c r="AX15" i="4"/>
  <c r="AW15" i="4"/>
  <c r="AX16" i="4"/>
  <c r="AY16" i="4"/>
  <c r="AW16" i="4"/>
  <c r="AY11" i="4"/>
  <c r="AX11" i="4"/>
  <c r="AW11" i="4"/>
  <c r="AW20" i="4"/>
  <c r="AX20" i="4"/>
  <c r="AY20" i="4"/>
  <c r="AX10" i="4"/>
  <c r="AY10" i="4"/>
  <c r="AW10" i="4"/>
  <c r="AY24" i="4"/>
  <c r="AX24" i="4"/>
  <c r="AW24" i="4"/>
  <c r="AY14" i="4"/>
  <c r="AW14" i="4"/>
  <c r="AX14" i="4"/>
  <c r="AW9" i="4"/>
  <c r="AX9" i="4"/>
  <c r="AY9" i="4"/>
  <c r="AY18" i="4"/>
  <c r="AX18" i="4"/>
  <c r="AW18" i="4"/>
  <c r="AY13" i="4"/>
  <c r="AX13" i="4"/>
  <c r="AW13" i="4"/>
  <c r="AZ21" i="4"/>
  <c r="AZ17" i="4"/>
  <c r="AZ13" i="4"/>
  <c r="AZ24" i="4"/>
  <c r="AZ23" i="4"/>
  <c r="AZ19" i="4"/>
  <c r="AZ15" i="4"/>
  <c r="AZ11" i="4"/>
  <c r="AZ18" i="4"/>
  <c r="AZ16" i="4"/>
  <c r="AZ9" i="4"/>
  <c r="AZ8" i="4"/>
  <c r="AZ20" i="4"/>
  <c r="AZ22" i="4"/>
  <c r="AZ10" i="4"/>
  <c r="AZ14" i="4"/>
  <c r="AZ12" i="4"/>
  <c r="AY22" i="4"/>
  <c r="AW22" i="4"/>
  <c r="AX22" i="4"/>
  <c r="AW17" i="4"/>
  <c r="AY17" i="4"/>
  <c r="AX17" i="4"/>
  <c r="AY8" i="4"/>
  <c r="AW8" i="4"/>
  <c r="AX8" i="4"/>
  <c r="AY23" i="4"/>
  <c r="AX23" i="4"/>
  <c r="AW23" i="4"/>
  <c r="AW21" i="4"/>
  <c r="AY21" i="4"/>
  <c r="AX21" i="4"/>
  <c r="AX12" i="6" l="1"/>
  <c r="AY12" i="6"/>
  <c r="AW12" i="6"/>
  <c r="AX14" i="6"/>
  <c r="AW14" i="6"/>
  <c r="AY14" i="6"/>
  <c r="AY16" i="6"/>
  <c r="AX16" i="6"/>
  <c r="AW16" i="6"/>
  <c r="AW18" i="6"/>
  <c r="AY18" i="6"/>
  <c r="AX18" i="6"/>
  <c r="AW20" i="6"/>
  <c r="AY20" i="6"/>
  <c r="AX20" i="6"/>
  <c r="AY9" i="6"/>
  <c r="AX9" i="6"/>
  <c r="AW9" i="6"/>
  <c r="AY10" i="6"/>
  <c r="AX10" i="6"/>
  <c r="AW10" i="6"/>
  <c r="AY22" i="6"/>
  <c r="AW22" i="6"/>
  <c r="AX22" i="6"/>
  <c r="AW24" i="6"/>
  <c r="AX24" i="6"/>
  <c r="AY24" i="6"/>
  <c r="AW11" i="6"/>
  <c r="AX11" i="6"/>
  <c r="AY11" i="6"/>
  <c r="AY13" i="6"/>
  <c r="AX13" i="6"/>
  <c r="AW13" i="6"/>
  <c r="AW23" i="6"/>
  <c r="AY23" i="6"/>
  <c r="AX23" i="6"/>
  <c r="AY15" i="6"/>
  <c r="AX15" i="6"/>
  <c r="AW15" i="6"/>
  <c r="AX17" i="6"/>
  <c r="AY17" i="6"/>
  <c r="AW17" i="6"/>
  <c r="AZ22" i="6"/>
  <c r="AZ18" i="6"/>
  <c r="AZ14" i="6"/>
  <c r="AZ10" i="6"/>
  <c r="AZ21" i="6"/>
  <c r="AZ24" i="6"/>
  <c r="AZ20" i="6"/>
  <c r="AZ13" i="6"/>
  <c r="AZ12" i="6"/>
  <c r="AZ11" i="6"/>
  <c r="AZ17" i="6"/>
  <c r="AZ16" i="6"/>
  <c r="AZ15" i="6"/>
  <c r="AZ19" i="6"/>
  <c r="AZ8" i="6"/>
  <c r="AZ9" i="6"/>
  <c r="AZ23" i="6"/>
  <c r="AY8" i="6"/>
  <c r="AX8" i="6"/>
  <c r="AW8" i="6"/>
  <c r="AY19" i="6"/>
  <c r="AX19" i="6"/>
  <c r="AW19" i="6"/>
  <c r="AX21" i="6"/>
  <c r="AW21" i="6"/>
  <c r="AY21" i="6"/>
  <c r="BB14" i="14"/>
  <c r="BE14" i="14"/>
  <c r="BF14" i="14" s="1"/>
  <c r="BB13" i="14"/>
  <c r="BE13" i="14"/>
  <c r="BF13" i="14" s="1"/>
  <c r="BB20" i="14"/>
  <c r="BE20" i="14"/>
  <c r="BF20" i="14" s="1"/>
  <c r="BB16" i="14"/>
  <c r="BE16" i="14"/>
  <c r="BF16" i="14" s="1"/>
  <c r="BB11" i="14"/>
  <c r="BE11" i="14"/>
  <c r="BF11" i="14" s="1"/>
  <c r="BB17" i="14"/>
  <c r="BE17" i="14"/>
  <c r="BF17" i="14" s="1"/>
  <c r="BB18" i="14"/>
  <c r="BE18" i="14"/>
  <c r="BF18" i="14" s="1"/>
  <c r="BB19" i="14"/>
  <c r="BE19" i="14"/>
  <c r="BF19" i="14" s="1"/>
  <c r="BB23" i="14"/>
  <c r="BE23" i="14"/>
  <c r="BF23" i="14" s="1"/>
  <c r="BB22" i="14"/>
  <c r="BE22" i="14"/>
  <c r="BF22" i="14" s="1"/>
  <c r="BB8" i="14"/>
  <c r="BE8" i="14"/>
  <c r="BF8" i="14" s="1"/>
  <c r="BB21" i="14"/>
  <c r="BE21" i="14"/>
  <c r="BF21" i="14" s="1"/>
  <c r="BB24" i="14"/>
  <c r="BE24" i="14"/>
  <c r="BF24" i="14" s="1"/>
  <c r="BB10" i="14"/>
  <c r="BE10" i="14"/>
  <c r="BF10" i="14" s="1"/>
  <c r="BB15" i="14"/>
  <c r="BE15" i="14"/>
  <c r="BF15" i="14" s="1"/>
  <c r="BB9" i="14"/>
  <c r="BE9" i="14"/>
  <c r="BF9" i="14" s="1"/>
  <c r="BB12" i="14"/>
  <c r="BE12" i="14"/>
  <c r="BF12" i="14" s="1"/>
  <c r="BB16" i="13"/>
  <c r="BE16" i="13"/>
  <c r="BF16" i="13" s="1"/>
  <c r="BB12" i="13"/>
  <c r="BE12" i="13"/>
  <c r="BF12" i="13" s="1"/>
  <c r="BB9" i="13"/>
  <c r="BE9" i="13"/>
  <c r="BF9" i="13" s="1"/>
  <c r="BB18" i="13"/>
  <c r="BE18" i="13"/>
  <c r="BF18" i="13" s="1"/>
  <c r="BB14" i="13"/>
  <c r="BE14" i="13"/>
  <c r="BF14" i="13" s="1"/>
  <c r="BB13" i="13"/>
  <c r="BE13" i="13"/>
  <c r="BF13" i="13" s="1"/>
  <c r="BB10" i="13"/>
  <c r="BE10" i="13"/>
  <c r="BF10" i="13" s="1"/>
  <c r="BB24" i="13"/>
  <c r="BE24" i="13"/>
  <c r="BF24" i="13" s="1"/>
  <c r="BB21" i="13"/>
  <c r="BE21" i="13"/>
  <c r="BF21" i="13" s="1"/>
  <c r="BB17" i="13"/>
  <c r="BE17" i="13"/>
  <c r="BF17" i="13" s="1"/>
  <c r="BB8" i="13"/>
  <c r="BE8" i="13"/>
  <c r="BF8" i="13" s="1"/>
  <c r="BB23" i="13"/>
  <c r="BE23" i="13"/>
  <c r="BF23" i="13" s="1"/>
  <c r="BB11" i="13"/>
  <c r="BE11" i="13"/>
  <c r="BF11" i="13" s="1"/>
  <c r="BB20" i="13"/>
  <c r="BE20" i="13"/>
  <c r="BF20" i="13" s="1"/>
  <c r="BB15" i="13"/>
  <c r="BE15" i="13"/>
  <c r="BF15" i="13" s="1"/>
  <c r="BB19" i="13"/>
  <c r="BE19" i="13"/>
  <c r="BF19" i="13" s="1"/>
  <c r="BB22" i="13"/>
  <c r="BE22" i="13"/>
  <c r="BF22" i="13" s="1"/>
  <c r="BB17" i="11"/>
  <c r="BE17" i="11"/>
  <c r="BF17" i="11" s="1"/>
  <c r="BB22" i="11"/>
  <c r="BE22" i="11"/>
  <c r="BF22" i="11" s="1"/>
  <c r="BB16" i="11"/>
  <c r="BE16" i="11"/>
  <c r="BF16" i="11" s="1"/>
  <c r="BB18" i="11"/>
  <c r="BE18" i="11"/>
  <c r="BF18" i="11" s="1"/>
  <c r="BB8" i="11"/>
  <c r="BE8" i="11"/>
  <c r="BF8" i="11" s="1"/>
  <c r="BB13" i="11"/>
  <c r="BE13" i="11"/>
  <c r="BF13" i="11" s="1"/>
  <c r="BB19" i="11"/>
  <c r="BE19" i="11"/>
  <c r="BF19" i="11" s="1"/>
  <c r="BB11" i="11"/>
  <c r="BE11" i="11"/>
  <c r="BF11" i="11" s="1"/>
  <c r="BB20" i="11"/>
  <c r="BE20" i="11"/>
  <c r="BF20" i="11" s="1"/>
  <c r="BB9" i="11"/>
  <c r="BE9" i="11"/>
  <c r="BF9" i="11" s="1"/>
  <c r="BB21" i="11"/>
  <c r="BE21" i="11"/>
  <c r="BF21" i="11" s="1"/>
  <c r="BB15" i="11"/>
  <c r="BE15" i="11"/>
  <c r="BF15" i="11" s="1"/>
  <c r="BB10" i="11"/>
  <c r="BE10" i="11"/>
  <c r="BF10" i="11" s="1"/>
  <c r="BB12" i="11"/>
  <c r="BE12" i="11"/>
  <c r="BF12" i="11" s="1"/>
  <c r="BB24" i="11"/>
  <c r="BE24" i="11"/>
  <c r="BF24" i="11" s="1"/>
  <c r="BB14" i="11"/>
  <c r="BE14" i="11"/>
  <c r="BF14" i="11" s="1"/>
  <c r="BB23" i="11"/>
  <c r="BE23" i="11"/>
  <c r="BF23" i="11" s="1"/>
  <c r="BB17" i="10"/>
  <c r="BE17" i="10"/>
  <c r="BF17" i="10" s="1"/>
  <c r="BB13" i="10"/>
  <c r="BE13" i="10"/>
  <c r="BF13" i="10" s="1"/>
  <c r="BB19" i="10"/>
  <c r="BE19" i="10"/>
  <c r="BF19" i="10" s="1"/>
  <c r="BB10" i="10"/>
  <c r="BE10" i="10"/>
  <c r="BF10" i="10" s="1"/>
  <c r="BB14" i="10"/>
  <c r="BE14" i="10"/>
  <c r="BF14" i="10" s="1"/>
  <c r="BB12" i="10"/>
  <c r="BE12" i="10"/>
  <c r="BF12" i="10" s="1"/>
  <c r="BB18" i="10"/>
  <c r="BE18" i="10"/>
  <c r="BF18" i="10" s="1"/>
  <c r="BB16" i="10"/>
  <c r="BE16" i="10"/>
  <c r="BF16" i="10" s="1"/>
  <c r="BB24" i="10"/>
  <c r="BE24" i="10"/>
  <c r="BF24" i="10" s="1"/>
  <c r="BB23" i="10"/>
  <c r="BE23" i="10"/>
  <c r="BF23" i="10" s="1"/>
  <c r="BB21" i="10"/>
  <c r="BE21" i="10"/>
  <c r="BF21" i="10" s="1"/>
  <c r="BB22" i="10"/>
  <c r="BE22" i="10"/>
  <c r="BF22" i="10" s="1"/>
  <c r="BB11" i="10"/>
  <c r="BE11" i="10"/>
  <c r="BF11" i="10" s="1"/>
  <c r="BB9" i="10"/>
  <c r="BE9" i="10"/>
  <c r="BF9" i="10" s="1"/>
  <c r="BB20" i="10"/>
  <c r="BE20" i="10"/>
  <c r="BF20" i="10" s="1"/>
  <c r="BB8" i="10"/>
  <c r="BE8" i="10"/>
  <c r="BF8" i="10" s="1"/>
  <c r="BB15" i="10"/>
  <c r="BE15" i="10"/>
  <c r="BF15" i="10" s="1"/>
  <c r="BB24" i="9"/>
  <c r="BE24" i="9"/>
  <c r="BF24" i="9" s="1"/>
  <c r="BB19" i="9"/>
  <c r="BE19" i="9"/>
  <c r="BF19" i="9" s="1"/>
  <c r="BB8" i="9"/>
  <c r="BE8" i="9"/>
  <c r="BF8" i="9" s="1"/>
  <c r="BB11" i="9"/>
  <c r="BE11" i="9"/>
  <c r="BF11" i="9" s="1"/>
  <c r="BB22" i="9"/>
  <c r="BE22" i="9"/>
  <c r="BF22" i="9" s="1"/>
  <c r="BB18" i="9"/>
  <c r="BE18" i="9"/>
  <c r="BF18" i="9" s="1"/>
  <c r="BB12" i="9"/>
  <c r="BE12" i="9"/>
  <c r="BF12" i="9" s="1"/>
  <c r="BB15" i="9"/>
  <c r="BE15" i="9"/>
  <c r="BF15" i="9" s="1"/>
  <c r="BB16" i="9"/>
  <c r="BE16" i="9"/>
  <c r="BF16" i="9" s="1"/>
  <c r="BB23" i="9"/>
  <c r="BE23" i="9"/>
  <c r="BF23" i="9" s="1"/>
  <c r="BB20" i="9"/>
  <c r="BE20" i="9"/>
  <c r="BF20" i="9" s="1"/>
  <c r="BB21" i="9"/>
  <c r="BE21" i="9"/>
  <c r="BF21" i="9" s="1"/>
  <c r="BB10" i="9"/>
  <c r="BE10" i="9"/>
  <c r="BF10" i="9" s="1"/>
  <c r="BB9" i="9"/>
  <c r="BE9" i="9"/>
  <c r="BF9" i="9" s="1"/>
  <c r="BB17" i="9"/>
  <c r="BE17" i="9"/>
  <c r="BF17" i="9" s="1"/>
  <c r="BB13" i="9"/>
  <c r="BE13" i="9"/>
  <c r="BF13" i="9" s="1"/>
  <c r="BB14" i="9"/>
  <c r="BE14" i="9"/>
  <c r="BF14" i="9" s="1"/>
  <c r="AX8" i="8"/>
  <c r="AY8" i="8"/>
  <c r="AW8" i="8"/>
  <c r="AY10" i="8"/>
  <c r="AX10" i="8"/>
  <c r="AW10" i="8"/>
  <c r="AW12" i="8"/>
  <c r="AY12" i="8"/>
  <c r="AX12" i="8"/>
  <c r="AY14" i="8"/>
  <c r="AW14" i="8"/>
  <c r="AX14" i="8"/>
  <c r="AY18" i="8"/>
  <c r="AW18" i="8"/>
  <c r="AX18" i="8"/>
  <c r="AX20" i="8"/>
  <c r="AW20" i="8"/>
  <c r="AY20" i="8"/>
  <c r="AW23" i="8"/>
  <c r="AX23" i="8"/>
  <c r="AY23" i="8"/>
  <c r="AZ22" i="8"/>
  <c r="AZ18" i="8"/>
  <c r="AZ21" i="8"/>
  <c r="AZ17" i="8"/>
  <c r="AZ24" i="8"/>
  <c r="AZ20" i="8"/>
  <c r="AZ16" i="8"/>
  <c r="AZ12" i="8"/>
  <c r="AZ8" i="8"/>
  <c r="AZ11" i="8"/>
  <c r="AZ10" i="8"/>
  <c r="AZ19" i="8"/>
  <c r="AZ15" i="8"/>
  <c r="AZ14" i="8"/>
  <c r="AZ13" i="8"/>
  <c r="AZ23" i="8"/>
  <c r="AZ9" i="8"/>
  <c r="AW22" i="8"/>
  <c r="AX22" i="8"/>
  <c r="AY22" i="8"/>
  <c r="AY24" i="8"/>
  <c r="AW24" i="8"/>
  <c r="AX24" i="8"/>
  <c r="AY16" i="8"/>
  <c r="AW16" i="8"/>
  <c r="AX16" i="8"/>
  <c r="AW11" i="8"/>
  <c r="AX11" i="8"/>
  <c r="AY11" i="8"/>
  <c r="AX9" i="8"/>
  <c r="AW9" i="8"/>
  <c r="AY9" i="8"/>
  <c r="AY15" i="8"/>
  <c r="AX15" i="8"/>
  <c r="AW15" i="8"/>
  <c r="AX13" i="8"/>
  <c r="AY13" i="8"/>
  <c r="AW13" i="8"/>
  <c r="AW19" i="8"/>
  <c r="AX19" i="8"/>
  <c r="AY19" i="8"/>
  <c r="AY17" i="8"/>
  <c r="AX17" i="8"/>
  <c r="AW17" i="8"/>
  <c r="AX21" i="8"/>
  <c r="AW21" i="8"/>
  <c r="AY21" i="8"/>
  <c r="BB16" i="7"/>
  <c r="BE16" i="7"/>
  <c r="BF16" i="7" s="1"/>
  <c r="BB24" i="7"/>
  <c r="BE24" i="7"/>
  <c r="BF24" i="7" s="1"/>
  <c r="BB20" i="7"/>
  <c r="BE20" i="7"/>
  <c r="BF20" i="7" s="1"/>
  <c r="BB23" i="7"/>
  <c r="BE23" i="7"/>
  <c r="BF23" i="7" s="1"/>
  <c r="BB19" i="7"/>
  <c r="BE19" i="7"/>
  <c r="BF19" i="7" s="1"/>
  <c r="BB9" i="7"/>
  <c r="BE9" i="7"/>
  <c r="BF9" i="7" s="1"/>
  <c r="BB18" i="7"/>
  <c r="BE18" i="7"/>
  <c r="BF18" i="7" s="1"/>
  <c r="BB8" i="7"/>
  <c r="BE8" i="7"/>
  <c r="BF8" i="7" s="1"/>
  <c r="BB14" i="7"/>
  <c r="BE14" i="7"/>
  <c r="BF14" i="7" s="1"/>
  <c r="BB17" i="7"/>
  <c r="BE17" i="7"/>
  <c r="BF17" i="7" s="1"/>
  <c r="BB21" i="7"/>
  <c r="BE21" i="7"/>
  <c r="BF21" i="7" s="1"/>
  <c r="BB11" i="7"/>
  <c r="BE11" i="7"/>
  <c r="BF11" i="7" s="1"/>
  <c r="BB22" i="7"/>
  <c r="BE22" i="7"/>
  <c r="BF22" i="7" s="1"/>
  <c r="BB13" i="7"/>
  <c r="BE13" i="7"/>
  <c r="BF13" i="7" s="1"/>
  <c r="BB10" i="7"/>
  <c r="BE10" i="7"/>
  <c r="BF10" i="7" s="1"/>
  <c r="BB15" i="7"/>
  <c r="BE15" i="7"/>
  <c r="BF15" i="7" s="1"/>
  <c r="BB12" i="7"/>
  <c r="BE12" i="7"/>
  <c r="BF12" i="7" s="1"/>
  <c r="AX18" i="5"/>
  <c r="AY18" i="5"/>
  <c r="AW18" i="5"/>
  <c r="AX20" i="5"/>
  <c r="AY20" i="5"/>
  <c r="AW20" i="5"/>
  <c r="AW24" i="5"/>
  <c r="AX24" i="5"/>
  <c r="AY24" i="5"/>
  <c r="AW14" i="5"/>
  <c r="AX14" i="5"/>
  <c r="AY14" i="5"/>
  <c r="AX22" i="5"/>
  <c r="AY22" i="5"/>
  <c r="AW22" i="5"/>
  <c r="AX15" i="5"/>
  <c r="AY15" i="5"/>
  <c r="AW15" i="5"/>
  <c r="AZ22" i="5"/>
  <c r="AZ21" i="5"/>
  <c r="AZ17" i="5"/>
  <c r="AZ23" i="5"/>
  <c r="AZ19" i="5"/>
  <c r="AZ15" i="5"/>
  <c r="AZ24" i="5"/>
  <c r="AZ14" i="5"/>
  <c r="AZ20" i="5"/>
  <c r="AZ16" i="5"/>
  <c r="AZ18" i="5"/>
  <c r="AX16" i="5"/>
  <c r="AW16" i="5"/>
  <c r="AY16" i="5"/>
  <c r="AY19" i="5"/>
  <c r="AW19" i="5"/>
  <c r="AX19" i="5"/>
  <c r="AW17" i="5"/>
  <c r="AX17" i="5"/>
  <c r="AY17" i="5"/>
  <c r="AW23" i="5"/>
  <c r="AX23" i="5"/>
  <c r="AY23" i="5"/>
  <c r="AX21" i="5"/>
  <c r="AW21" i="5"/>
  <c r="AY21" i="5"/>
  <c r="BB15" i="4"/>
  <c r="BE15" i="4"/>
  <c r="BF15" i="4" s="1"/>
  <c r="BB24" i="4"/>
  <c r="BE24" i="4"/>
  <c r="BF24" i="4" s="1"/>
  <c r="BB11" i="4"/>
  <c r="BE11" i="4"/>
  <c r="BF11" i="4" s="1"/>
  <c r="BB12" i="4"/>
  <c r="BE12" i="4"/>
  <c r="BF12" i="4" s="1"/>
  <c r="BB9" i="4"/>
  <c r="BE9" i="4"/>
  <c r="BF9" i="4" s="1"/>
  <c r="BB23" i="4"/>
  <c r="BE23" i="4"/>
  <c r="BF23" i="4" s="1"/>
  <c r="BB17" i="4"/>
  <c r="BE17" i="4"/>
  <c r="BF17" i="4" s="1"/>
  <c r="BB13" i="4"/>
  <c r="BE13" i="4"/>
  <c r="BF13" i="4" s="1"/>
  <c r="BB14" i="4"/>
  <c r="BE14" i="4"/>
  <c r="BF14" i="4" s="1"/>
  <c r="BB10" i="4"/>
  <c r="BE10" i="4"/>
  <c r="BF10" i="4" s="1"/>
  <c r="BB22" i="4"/>
  <c r="BE22" i="4"/>
  <c r="BF22" i="4" s="1"/>
  <c r="BB16" i="4"/>
  <c r="BE16" i="4"/>
  <c r="BF16" i="4" s="1"/>
  <c r="BB19" i="4"/>
  <c r="BE19" i="4"/>
  <c r="BF19" i="4" s="1"/>
  <c r="BB18" i="4"/>
  <c r="BE18" i="4"/>
  <c r="BF18" i="4" s="1"/>
  <c r="BB8" i="4"/>
  <c r="BE8" i="4"/>
  <c r="BF8" i="4" s="1"/>
  <c r="BB21" i="4"/>
  <c r="BE21" i="4"/>
  <c r="BF21" i="4" s="1"/>
  <c r="BB20" i="4"/>
  <c r="BE20" i="4"/>
  <c r="BF20" i="4" s="1"/>
  <c r="BB19" i="6" l="1"/>
  <c r="BE19" i="6"/>
  <c r="BF19" i="6" s="1"/>
  <c r="BB20" i="6"/>
  <c r="BE20" i="6"/>
  <c r="BF20" i="6" s="1"/>
  <c r="BB17" i="6"/>
  <c r="BE17" i="6"/>
  <c r="BF17" i="6" s="1"/>
  <c r="BB16" i="6"/>
  <c r="BE16" i="6"/>
  <c r="BF16" i="6" s="1"/>
  <c r="BB15" i="6"/>
  <c r="BE15" i="6"/>
  <c r="BF15" i="6" s="1"/>
  <c r="BB9" i="6"/>
  <c r="BE9" i="6"/>
  <c r="BF9" i="6" s="1"/>
  <c r="BB13" i="6"/>
  <c r="BE13" i="6"/>
  <c r="BF13" i="6" s="1"/>
  <c r="BB22" i="6"/>
  <c r="BE22" i="6"/>
  <c r="BF22" i="6" s="1"/>
  <c r="BB8" i="6"/>
  <c r="BE8" i="6"/>
  <c r="BF8" i="6" s="1"/>
  <c r="BB11" i="6"/>
  <c r="BE11" i="6"/>
  <c r="BF11" i="6" s="1"/>
  <c r="BB10" i="6"/>
  <c r="BE10" i="6"/>
  <c r="BF10" i="6" s="1"/>
  <c r="BB23" i="6"/>
  <c r="BE23" i="6"/>
  <c r="BF23" i="6" s="1"/>
  <c r="BB14" i="6"/>
  <c r="BE14" i="6"/>
  <c r="BF14" i="6" s="1"/>
  <c r="BB18" i="6"/>
  <c r="BE18" i="6"/>
  <c r="BF18" i="6" s="1"/>
  <c r="BB21" i="6"/>
  <c r="BE21" i="6"/>
  <c r="BF21" i="6" s="1"/>
  <c r="BB24" i="6"/>
  <c r="BE24" i="6"/>
  <c r="BF24" i="6" s="1"/>
  <c r="BB12" i="6"/>
  <c r="BE12" i="6"/>
  <c r="BF12" i="6" s="1"/>
  <c r="BB15" i="8"/>
  <c r="BE15" i="8"/>
  <c r="BF15" i="8" s="1"/>
  <c r="BB16" i="8"/>
  <c r="BE16" i="8"/>
  <c r="BF16" i="8" s="1"/>
  <c r="BB18" i="8"/>
  <c r="BE18" i="8"/>
  <c r="BF18" i="8" s="1"/>
  <c r="BB22" i="8"/>
  <c r="BE22" i="8"/>
  <c r="BF22" i="8" s="1"/>
  <c r="BB19" i="8"/>
  <c r="BE19" i="8"/>
  <c r="BF19" i="8" s="1"/>
  <c r="BB10" i="8"/>
  <c r="BE10" i="8"/>
  <c r="BF10" i="8" s="1"/>
  <c r="BB17" i="8"/>
  <c r="BE17" i="8"/>
  <c r="BF17" i="8" s="1"/>
  <c r="BB24" i="8"/>
  <c r="BE24" i="8"/>
  <c r="BF24" i="8" s="1"/>
  <c r="BB23" i="8"/>
  <c r="BE23" i="8"/>
  <c r="BF23" i="8" s="1"/>
  <c r="BB14" i="8"/>
  <c r="BE14" i="8"/>
  <c r="BF14" i="8" s="1"/>
  <c r="BB20" i="8"/>
  <c r="BE20" i="8"/>
  <c r="BF20" i="8" s="1"/>
  <c r="BB9" i="8"/>
  <c r="BE9" i="8"/>
  <c r="BF9" i="8" s="1"/>
  <c r="BB21" i="8"/>
  <c r="BE21" i="8"/>
  <c r="BF21" i="8" s="1"/>
  <c r="BB13" i="8"/>
  <c r="BE13" i="8"/>
  <c r="BF13" i="8" s="1"/>
  <c r="BB11" i="8"/>
  <c r="BE11" i="8"/>
  <c r="BF11" i="8" s="1"/>
  <c r="BB12" i="8"/>
  <c r="BE12" i="8"/>
  <c r="BF12" i="8" s="1"/>
  <c r="BB8" i="8"/>
  <c r="BE8" i="8"/>
  <c r="BF8" i="8" s="1"/>
  <c r="BB16" i="5"/>
  <c r="BE16" i="5"/>
  <c r="BF16" i="5" s="1"/>
  <c r="BB17" i="5"/>
  <c r="BE17" i="5"/>
  <c r="BF17" i="5" s="1"/>
  <c r="BB20" i="5"/>
  <c r="BE20" i="5"/>
  <c r="BF20" i="5" s="1"/>
  <c r="BB19" i="5"/>
  <c r="BE19" i="5"/>
  <c r="BF19" i="5" s="1"/>
  <c r="BB14" i="5"/>
  <c r="BE14" i="5"/>
  <c r="BF14" i="5" s="1"/>
  <c r="BE13" i="5"/>
  <c r="BF13" i="5" s="1"/>
  <c r="BE9" i="5"/>
  <c r="BF9" i="5" s="1"/>
  <c r="BB18" i="5"/>
  <c r="BE18" i="5"/>
  <c r="BF18" i="5" s="1"/>
  <c r="BB22" i="5"/>
  <c r="BE22" i="5"/>
  <c r="BF22" i="5" s="1"/>
  <c r="BE12" i="5"/>
  <c r="BF12" i="5" s="1"/>
  <c r="BB24" i="5"/>
  <c r="BE24" i="5"/>
  <c r="BF24" i="5" s="1"/>
  <c r="BB23" i="5"/>
  <c r="BE23" i="5"/>
  <c r="BF23" i="5" s="1"/>
  <c r="BE8" i="5"/>
  <c r="BF8" i="5" s="1"/>
  <c r="BB21" i="5"/>
  <c r="BE21" i="5"/>
  <c r="BF21" i="5" s="1"/>
  <c r="BB15" i="5"/>
  <c r="BE15" i="5"/>
  <c r="BF15" i="5" s="1"/>
  <c r="BE11" i="5"/>
  <c r="BF11" i="5" s="1"/>
  <c r="BE10" i="5"/>
  <c r="BF10" i="5" s="1"/>
</calcChain>
</file>

<file path=xl/sharedStrings.xml><?xml version="1.0" encoding="utf-8"?>
<sst xmlns="http://schemas.openxmlformats.org/spreadsheetml/2006/main" count="6467" uniqueCount="60">
  <si>
    <t>SL No.</t>
  </si>
  <si>
    <t>Name</t>
  </si>
  <si>
    <t>Employee ID</t>
  </si>
  <si>
    <t>KINSHUK SEN</t>
  </si>
  <si>
    <t>CHANDRA SEN</t>
  </si>
  <si>
    <t>ABHISHEK SHARMA</t>
  </si>
  <si>
    <t>KALYAN CHOWDHURY</t>
  </si>
  <si>
    <t>SOUMAJIT PAL</t>
  </si>
  <si>
    <t>KALYAN PAL</t>
  </si>
  <si>
    <t>PANKAJ</t>
  </si>
  <si>
    <t>RANIT SARKAR</t>
  </si>
  <si>
    <t>RAHUL MONDAL</t>
  </si>
  <si>
    <t>PANCHU</t>
  </si>
  <si>
    <t>AYAN</t>
  </si>
  <si>
    <t>MOUSUMI</t>
  </si>
  <si>
    <t>SIKENDAR</t>
  </si>
  <si>
    <t>DEVJEET</t>
  </si>
  <si>
    <t>RIYA</t>
  </si>
  <si>
    <t>ANAMIKA</t>
  </si>
  <si>
    <t>NANDINI</t>
  </si>
  <si>
    <t>KC001</t>
  </si>
  <si>
    <t>KC002</t>
  </si>
  <si>
    <t>KC003</t>
  </si>
  <si>
    <t>KC004</t>
  </si>
  <si>
    <t>KC005</t>
  </si>
  <si>
    <t>KC006</t>
  </si>
  <si>
    <t>KC007</t>
  </si>
  <si>
    <t>KC008</t>
  </si>
  <si>
    <t>KC009</t>
  </si>
  <si>
    <t>KC010</t>
  </si>
  <si>
    <t>KC011</t>
  </si>
  <si>
    <t>KC012</t>
  </si>
  <si>
    <t>KC013</t>
  </si>
  <si>
    <t>KC014</t>
  </si>
  <si>
    <t>KC015</t>
  </si>
  <si>
    <t>KC016</t>
  </si>
  <si>
    <t>KC017</t>
  </si>
  <si>
    <t>SL NO.</t>
  </si>
  <si>
    <t>EMPLOYEE ID</t>
  </si>
  <si>
    <t>EMPLOYEE NAME</t>
  </si>
  <si>
    <t>WEEK OFF</t>
  </si>
  <si>
    <t>TO</t>
  </si>
  <si>
    <t>FROM</t>
  </si>
  <si>
    <t>DAYS</t>
  </si>
  <si>
    <t>ADDITIONAL INFORMATION</t>
  </si>
  <si>
    <t>Present</t>
  </si>
  <si>
    <t>Absent</t>
  </si>
  <si>
    <t>Leave</t>
  </si>
  <si>
    <t>Weak Off</t>
  </si>
  <si>
    <t>Days</t>
  </si>
  <si>
    <t>Paid Days</t>
  </si>
  <si>
    <t>Basic Salary</t>
  </si>
  <si>
    <t>Per Day Salary</t>
  </si>
  <si>
    <t>Deduction</t>
  </si>
  <si>
    <t>Total Salary</t>
  </si>
  <si>
    <t>SpeakLine</t>
  </si>
  <si>
    <t>Month</t>
  </si>
  <si>
    <t>P</t>
  </si>
  <si>
    <t>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</si>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</sst>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[$-409]d\-mmm\-yyyy;@"/>
    <numFmt numFmtId="166" formatCode="dd"/>
    <numFmt numFmtId="167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164" fontId="0" fillId="0" borderId="0" xfId="0" applyNumberFormat="1"/>
    <xf numFmtId="0" fontId="1" fillId="3" borderId="0" xfId="0" applyFont="1" applyFill="1" applyBorder="1"/>
    <xf numFmtId="0" fontId="1" fillId="3" borderId="11" xfId="0" applyFont="1" applyFill="1" applyBorder="1"/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6" fontId="0" fillId="4" borderId="0" xfId="0" applyNumberFormat="1" applyFill="1" applyBorder="1" applyAlignment="1">
      <alignment horizontal="center" vertical="center"/>
    </xf>
    <xf numFmtId="0" fontId="3" fillId="5" borderId="13" xfId="0" applyFont="1" applyFill="1" applyBorder="1"/>
    <xf numFmtId="0" fontId="3" fillId="5" borderId="14" xfId="0" applyFont="1" applyFill="1" applyBorder="1"/>
    <xf numFmtId="0" fontId="3" fillId="5" borderId="15" xfId="0" applyFont="1" applyFill="1" applyBorder="1"/>
    <xf numFmtId="167" fontId="0" fillId="0" borderId="0" xfId="0" applyNumberFormat="1"/>
    <xf numFmtId="0" fontId="0" fillId="0" borderId="0" xfId="0" applyBorder="1"/>
    <xf numFmtId="167" fontId="0" fillId="0" borderId="0" xfId="0" applyNumberFormat="1" applyBorder="1"/>
    <xf numFmtId="0" fontId="0" fillId="0" borderId="19" xfId="0" applyBorder="1"/>
    <xf numFmtId="0" fontId="0" fillId="0" borderId="12" xfId="0" applyBorder="1"/>
    <xf numFmtId="167" fontId="0" fillId="0" borderId="20" xfId="0" applyNumberFormat="1" applyBorder="1"/>
    <xf numFmtId="0" fontId="2" fillId="2" borderId="2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1" fillId="3" borderId="19" xfId="0" applyFont="1" applyFill="1" applyBorder="1"/>
    <xf numFmtId="166" fontId="0" fillId="4" borderId="20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2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6" borderId="0" xfId="0" applyFill="1"/>
    <xf numFmtId="166" fontId="0" fillId="6" borderId="0" xfId="0" applyNumberFormat="1" applyFill="1"/>
    <xf numFmtId="0" fontId="0" fillId="7" borderId="0" xfId="0" applyFill="1"/>
    <xf numFmtId="165" fontId="0" fillId="7" borderId="0" xfId="0" applyNumberFormat="1" applyFill="1"/>
    <xf numFmtId="0" fontId="0" fillId="7" borderId="0" xfId="0" applyNumberFormat="1" applyFill="1"/>
    <xf numFmtId="166" fontId="0" fillId="7" borderId="0" xfId="0" applyNumberFormat="1" applyFill="1"/>
    <xf numFmtId="0" fontId="0" fillId="8" borderId="0" xfId="0" applyFill="1"/>
    <xf numFmtId="166" fontId="0" fillId="8" borderId="0" xfId="0" applyNumberFormat="1" applyFill="1"/>
    <xf numFmtId="21" fontId="0" fillId="0" borderId="0" xfId="0" applyNumberFormat="1"/>
    <xf numFmtId="0" fontId="2" fillId="2" borderId="17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0" fillId="6" borderId="0" xfId="0" applyFill="1" applyBorder="1" applyAlignment="1">
      <alignment horizontal="center" vertical="center"/>
    </xf>
    <xf numFmtId="0" fontId="0" fillId="6" borderId="0" xfId="0" applyFill="1" applyBorder="1"/>
    <xf numFmtId="0" fontId="0" fillId="7" borderId="0" xfId="0" applyFill="1" applyBorder="1" applyAlignment="1">
      <alignment horizontal="center" vertical="center"/>
    </xf>
  </cellXfs>
  <cellStyles count="1">
    <cellStyle name="Normal" xfId="0" builtinId="0"/>
  </cellStyles>
  <dxfs count="591"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numFmt numFmtId="167" formatCode="_ [$₹-4009]\ * #,##0.00_ ;_ [$₹-4009]\ * \-#,##0.00_ ;_ [$₹-4009]\ * &quot;-&quot;??_ ;_ @_ "/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  <border diagonalUp="0" diagonalDown="0">
        <left/>
        <right style="medium">
          <color indexed="64"/>
        </right>
        <vertical/>
      </border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/>
        <i val="0"/>
        <color rgb="FF00FF00"/>
      </font>
    </dxf>
    <dxf>
      <font>
        <b/>
        <i val="0"/>
        <color rgb="FFFF0000"/>
      </font>
    </dxf>
    <dxf>
      <font>
        <color rgb="FFFFFF00"/>
      </font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</dxf>
    <dxf>
      <font>
        <b/>
        <i val="0"/>
        <color rgb="FFFF0000"/>
      </font>
    </dxf>
    <dxf>
      <font>
        <color rgb="FFFFFF00"/>
      </font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numFmt numFmtId="167" formatCode="_ [$₹-4009]\ * #,##0.00_ ;_ [$₹-4009]\ * \-#,##0.00_ ;_ [$₹-4009]\ * &quot;-&quot;??_ ;_ @_ "/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b/>
        <i val="0"/>
        <color rgb="FF00FF00"/>
      </font>
      <fill>
        <gradientFill degree="135">
          <stop position="0">
            <color theme="0"/>
          </stop>
          <stop position="1">
            <color theme="1"/>
          </stop>
        </gradientFill>
      </fill>
    </dxf>
    <dxf>
      <font>
        <b/>
        <i val="0"/>
        <color theme="7"/>
      </font>
      <fill>
        <gradientFill type="path" left="1" right="1">
          <stop position="0">
            <color theme="0"/>
          </stop>
          <stop position="1">
            <color rgb="FFF1FC60"/>
          </stop>
        </gradientFill>
      </fill>
    </dxf>
    <dxf>
      <font>
        <b/>
        <i val="0"/>
        <color rgb="FFFF0000"/>
      </font>
      <fill>
        <gradientFill degree="90">
          <stop position="0">
            <color theme="0"/>
          </stop>
          <stop position="1">
            <color rgb="FFF9570F"/>
          </stop>
        </gradientFill>
      </fill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  <border diagonalUp="0" diagonalDown="0">
        <left/>
        <right style="medium">
          <color indexed="64"/>
        </right>
        <vertical/>
      </border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  <border diagonalUp="0" diagonalDown="0">
        <left/>
        <right style="medium">
          <color indexed="64"/>
        </right>
        <vertical/>
      </border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  <border diagonalUp="0" diagonalDown="0">
        <left/>
        <right style="medium">
          <color indexed="64"/>
        </right>
        <vertical/>
      </border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  <border diagonalUp="0" diagonalDown="0">
        <left/>
        <right style="medium">
          <color indexed="64"/>
        </right>
        <vertical/>
      </border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  <border diagonalUp="0" diagonalDown="0">
        <left/>
        <right style="medium">
          <color indexed="64"/>
        </right>
        <vertical/>
      </border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  <border diagonalUp="0" diagonalDown="0">
        <left/>
        <right style="medium">
          <color indexed="64"/>
        </right>
        <vertical/>
      </border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  <border diagonalUp="0" diagonalDown="0">
        <left/>
        <right style="medium">
          <color indexed="64"/>
        </right>
        <vertical/>
      </border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numFmt numFmtId="167" formatCode="_ [$₹-4009]\ * #,##0.00_ ;_ [$₹-4009]\ * \-#,##0.00_ ;_ [$₹-4009]\ * &quot;-&quot;??_ ;_ @_ "/>
      <border diagonalUp="0" diagonalDown="0">
        <left/>
        <right style="medium">
          <color indexed="64"/>
        </right>
        <vertical/>
      </border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font>
        <color rgb="FFFF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numFmt numFmtId="167" formatCode="_ [$₹-4009]\ * #,##0.00_ ;_ [$₹-4009]\ * \-#,##0.00_ ;_ [$₹-4009]\ * &quot;-&quot;??_ ;_ @_ "/>
      <border diagonalUp="0" diagonalDown="0">
        <left/>
        <right style="medium">
          <color indexed="64"/>
        </right>
        <vertical/>
      </border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numFmt numFmtId="167" formatCode="_ [$₹-4009]\ * #,##0.00_ ;_ [$₹-4009]\ * \-#,##0.00_ ;_ [$₹-4009]\ * &quot;-&quot;??_ ;_ @_ "/>
      <border diagonalUp="0" diagonalDown="0">
        <left/>
        <right style="medium">
          <color indexed="64"/>
        </right>
        <vertical/>
      </border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color rgb="FFFFFF00"/>
      </font>
    </dxf>
    <dxf>
      <font>
        <b/>
        <i val="0"/>
        <color rgb="FFFF0000"/>
      </font>
    </dxf>
    <dxf>
      <font>
        <b/>
        <i val="0"/>
        <color rgb="FF00FF00"/>
      </font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2" tint="-0.24994659260841701"/>
        </patternFill>
      </fill>
    </dxf>
    <dxf>
      <numFmt numFmtId="167" formatCode="_ [$₹-4009]\ * #,##0.00_ ;_ [$₹-4009]\ * \-#,##0.00_ ;_ [$₹-4009]\ * &quot;-&quot;??_ ;_ @_ "/>
      <border diagonalUp="0" diagonalDown="0">
        <left/>
        <right style="medium">
          <color indexed="64"/>
        </right>
        <vertical/>
      </border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167" formatCode="_ [$₹-4009]\ * #,##0.00_ ;_ [$₹-4009]\ * \-#,##0.00_ ;_ [$₹-4009]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87BE62"/>
      <color rgb="FFF1FC60"/>
      <color rgb="FFFFFDBB"/>
      <color rgb="FFF9570F"/>
      <color rgb="FFFF0000"/>
      <color rgb="FF00FF00"/>
      <color rgb="FF66FF33"/>
      <color rgb="FF2BF595"/>
      <color rgb="FF12F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3" Type="http://schemas.openxmlformats.org/officeDocument/2006/relationships/hyperlink" Target="#April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3" Type="http://schemas.openxmlformats.org/officeDocument/2006/relationships/hyperlink" Target="#April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3" Type="http://schemas.openxmlformats.org/officeDocument/2006/relationships/hyperlink" Target="#April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3" Type="http://schemas.openxmlformats.org/officeDocument/2006/relationships/hyperlink" Target="#April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3" Type="http://schemas.openxmlformats.org/officeDocument/2006/relationships/hyperlink" Target="#April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3" Type="http://schemas.openxmlformats.org/officeDocument/2006/relationships/hyperlink" Target="#April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3" Type="http://schemas.openxmlformats.org/officeDocument/2006/relationships/hyperlink" Target="#April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3" Type="http://schemas.openxmlformats.org/officeDocument/2006/relationships/hyperlink" Target="#April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3" Type="http://schemas.openxmlformats.org/officeDocument/2006/relationships/hyperlink" Target="#April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3" Type="http://schemas.openxmlformats.org/officeDocument/2006/relationships/hyperlink" Target="#April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3" Type="http://schemas.openxmlformats.org/officeDocument/2006/relationships/hyperlink" Target="#April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Sep!A1"/><Relationship Id="rId3" Type="http://schemas.openxmlformats.org/officeDocument/2006/relationships/hyperlink" Target="#April!A1"/><Relationship Id="rId7" Type="http://schemas.openxmlformats.org/officeDocument/2006/relationships/hyperlink" Target="#Aug!A1"/><Relationship Id="rId12" Type="http://schemas.openxmlformats.org/officeDocument/2006/relationships/hyperlink" Target="#Jan!A1"/><Relationship Id="rId2" Type="http://schemas.openxmlformats.org/officeDocument/2006/relationships/hyperlink" Target="#Mar!A1"/><Relationship Id="rId1" Type="http://schemas.openxmlformats.org/officeDocument/2006/relationships/hyperlink" Target="#Feb!A1"/><Relationship Id="rId6" Type="http://schemas.openxmlformats.org/officeDocument/2006/relationships/hyperlink" Target="#July!A1"/><Relationship Id="rId11" Type="http://schemas.openxmlformats.org/officeDocument/2006/relationships/hyperlink" Target="#Dec!A1"/><Relationship Id="rId5" Type="http://schemas.openxmlformats.org/officeDocument/2006/relationships/hyperlink" Target="#Jun!A1"/><Relationship Id="rId10" Type="http://schemas.openxmlformats.org/officeDocument/2006/relationships/hyperlink" Target="#Nov!A1"/><Relationship Id="rId4" Type="http://schemas.openxmlformats.org/officeDocument/2006/relationships/hyperlink" Target="#May!A1"/><Relationship Id="rId9" Type="http://schemas.openxmlformats.org/officeDocument/2006/relationships/hyperlink" Target="#Oct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272143</xdr:colOff>
      <xdr:row>0</xdr:row>
      <xdr:rowOff>4948</xdr:rowOff>
    </xdr:from>
    <xdr:to>
      <xdr:col>40</xdr:col>
      <xdr:colOff>13607</xdr:colOff>
      <xdr:row>2</xdr:row>
      <xdr:rowOff>72984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B781A96-A628-4CCC-8F83-918C3C542547}"/>
            </a:ext>
          </a:extLst>
        </xdr:cNvPr>
        <xdr:cNvSpPr/>
      </xdr:nvSpPr>
      <xdr:spPr>
        <a:xfrm>
          <a:off x="1484416" y="4948"/>
          <a:ext cx="18116055" cy="449036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2</xdr:rowOff>
    </xdr:from>
    <xdr:to>
      <xdr:col>2</xdr:col>
      <xdr:colOff>304799</xdr:colOff>
      <xdr:row>36</xdr:row>
      <xdr:rowOff>27214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B77FC52-4F67-4AA4-AF8F-23DA79F7333A}"/>
            </a:ext>
          </a:extLst>
        </xdr:cNvPr>
        <xdr:cNvSpPr/>
      </xdr:nvSpPr>
      <xdr:spPr>
        <a:xfrm>
          <a:off x="0" y="2"/>
          <a:ext cx="1529442" cy="6885212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59872</xdr:rowOff>
    </xdr:from>
    <xdr:to>
      <xdr:col>2</xdr:col>
      <xdr:colOff>583746</xdr:colOff>
      <xdr:row>7</xdr:row>
      <xdr:rowOff>57150</xdr:rowOff>
    </xdr:to>
    <xdr:sp macro="" textlink="">
      <xdr:nvSpPr>
        <xdr:cNvPr id="4" name="Rectangle: Diagonal Corners Rounded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9858D5-E407-4E43-832F-CE30A5C9D0A4}"/>
            </a:ext>
          </a:extLst>
        </xdr:cNvPr>
        <xdr:cNvSpPr/>
      </xdr:nvSpPr>
      <xdr:spPr>
        <a:xfrm>
          <a:off x="0" y="1012372"/>
          <a:ext cx="1808389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7</xdr:row>
      <xdr:rowOff>185057</xdr:rowOff>
    </xdr:from>
    <xdr:to>
      <xdr:col>2</xdr:col>
      <xdr:colOff>583746</xdr:colOff>
      <xdr:row>9</xdr:row>
      <xdr:rowOff>182335</xdr:rowOff>
    </xdr:to>
    <xdr:sp macro="" textlink="">
      <xdr:nvSpPr>
        <xdr:cNvPr id="5" name="Rectangle: Diagonal Corners Rounded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68D9DE-EB77-4AE5-A197-317ECAC1E098}"/>
            </a:ext>
          </a:extLst>
        </xdr:cNvPr>
        <xdr:cNvSpPr/>
      </xdr:nvSpPr>
      <xdr:spPr>
        <a:xfrm>
          <a:off x="0" y="1518557"/>
          <a:ext cx="1808389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10</xdr:row>
      <xdr:rowOff>92529</xdr:rowOff>
    </xdr:from>
    <xdr:to>
      <xdr:col>2</xdr:col>
      <xdr:colOff>583746</xdr:colOff>
      <xdr:row>12</xdr:row>
      <xdr:rowOff>89807</xdr:rowOff>
    </xdr:to>
    <xdr:sp macro="" textlink="">
      <xdr:nvSpPr>
        <xdr:cNvPr id="6" name="Rectangle: Diagonal Corners Rounded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861269-81F7-4DA5-9907-F946DAA8E02C}"/>
            </a:ext>
          </a:extLst>
        </xdr:cNvPr>
        <xdr:cNvSpPr/>
      </xdr:nvSpPr>
      <xdr:spPr>
        <a:xfrm>
          <a:off x="0" y="1997529"/>
          <a:ext cx="1808389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2721</xdr:colOff>
      <xdr:row>13</xdr:row>
      <xdr:rowOff>40822</xdr:rowOff>
    </xdr:from>
    <xdr:to>
      <xdr:col>2</xdr:col>
      <xdr:colOff>586467</xdr:colOff>
      <xdr:row>15</xdr:row>
      <xdr:rowOff>38100</xdr:rowOff>
    </xdr:to>
    <xdr:sp macro="" textlink="">
      <xdr:nvSpPr>
        <xdr:cNvPr id="7" name="Rectangle: Diagonal Corners Rounded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7709315-E86A-4E99-831A-624AE3E8C7AC}"/>
            </a:ext>
          </a:extLst>
        </xdr:cNvPr>
        <xdr:cNvSpPr/>
      </xdr:nvSpPr>
      <xdr:spPr>
        <a:xfrm>
          <a:off x="2721" y="2517322"/>
          <a:ext cx="1808389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16</xdr:row>
      <xdr:rowOff>2721</xdr:rowOff>
    </xdr:from>
    <xdr:to>
      <xdr:col>2</xdr:col>
      <xdr:colOff>583746</xdr:colOff>
      <xdr:row>17</xdr:row>
      <xdr:rowOff>190499</xdr:rowOff>
    </xdr:to>
    <xdr:sp macro="" textlink="">
      <xdr:nvSpPr>
        <xdr:cNvPr id="8" name="Rectangle: Diagonal Corners Rounded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6C27513-1DF4-4D36-AB81-3825434B34B0}"/>
            </a:ext>
          </a:extLst>
        </xdr:cNvPr>
        <xdr:cNvSpPr/>
      </xdr:nvSpPr>
      <xdr:spPr>
        <a:xfrm>
          <a:off x="0" y="3050721"/>
          <a:ext cx="1808389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18</xdr:row>
      <xdr:rowOff>168729</xdr:rowOff>
    </xdr:from>
    <xdr:to>
      <xdr:col>2</xdr:col>
      <xdr:colOff>583746</xdr:colOff>
      <xdr:row>20</xdr:row>
      <xdr:rowOff>166007</xdr:rowOff>
    </xdr:to>
    <xdr:sp macro="" textlink="">
      <xdr:nvSpPr>
        <xdr:cNvPr id="9" name="Rectangle: Diagonal Corners Rounded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3DDE7D2-2915-459B-94BC-BE5CE956C0BC}"/>
            </a:ext>
          </a:extLst>
        </xdr:cNvPr>
        <xdr:cNvSpPr/>
      </xdr:nvSpPr>
      <xdr:spPr>
        <a:xfrm>
          <a:off x="0" y="3597729"/>
          <a:ext cx="1808389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21</xdr:row>
      <xdr:rowOff>125186</xdr:rowOff>
    </xdr:from>
    <xdr:to>
      <xdr:col>2</xdr:col>
      <xdr:colOff>583746</xdr:colOff>
      <xdr:row>23</xdr:row>
      <xdr:rowOff>122464</xdr:rowOff>
    </xdr:to>
    <xdr:sp macro="" textlink="">
      <xdr:nvSpPr>
        <xdr:cNvPr id="10" name="Rectangle: Diagonal Corners Rounded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74610FE-6A82-44A6-B562-965D65430FE4}"/>
            </a:ext>
          </a:extLst>
        </xdr:cNvPr>
        <xdr:cNvSpPr/>
      </xdr:nvSpPr>
      <xdr:spPr>
        <a:xfrm>
          <a:off x="0" y="4125686"/>
          <a:ext cx="1808389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24</xdr:row>
      <xdr:rowOff>73480</xdr:rowOff>
    </xdr:from>
    <xdr:to>
      <xdr:col>2</xdr:col>
      <xdr:colOff>583746</xdr:colOff>
      <xdr:row>26</xdr:row>
      <xdr:rowOff>70758</xdr:rowOff>
    </xdr:to>
    <xdr:sp macro="" textlink="">
      <xdr:nvSpPr>
        <xdr:cNvPr id="11" name="Rectangle: Diagonal Corners Rounded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77ABC08-5DC7-438D-8881-C84B97D5F3EE}"/>
            </a:ext>
          </a:extLst>
        </xdr:cNvPr>
        <xdr:cNvSpPr/>
      </xdr:nvSpPr>
      <xdr:spPr>
        <a:xfrm>
          <a:off x="0" y="4645480"/>
          <a:ext cx="1808389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SEPTEMBER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27</xdr:row>
      <xdr:rowOff>8166</xdr:rowOff>
    </xdr:from>
    <xdr:to>
      <xdr:col>2</xdr:col>
      <xdr:colOff>583746</xdr:colOff>
      <xdr:row>29</xdr:row>
      <xdr:rowOff>5444</xdr:rowOff>
    </xdr:to>
    <xdr:sp macro="" textlink="">
      <xdr:nvSpPr>
        <xdr:cNvPr id="12" name="Rectangle: Diagonal Corners Rounded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1B755A5-73FF-46C4-8EE6-707F42CF6F8D}"/>
            </a:ext>
          </a:extLst>
        </xdr:cNvPr>
        <xdr:cNvSpPr/>
      </xdr:nvSpPr>
      <xdr:spPr>
        <a:xfrm>
          <a:off x="0" y="5151666"/>
          <a:ext cx="1808389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29</xdr:row>
      <xdr:rowOff>160564</xdr:rowOff>
    </xdr:from>
    <xdr:to>
      <xdr:col>2</xdr:col>
      <xdr:colOff>583746</xdr:colOff>
      <xdr:row>31</xdr:row>
      <xdr:rowOff>157842</xdr:rowOff>
    </xdr:to>
    <xdr:sp macro="" textlink="">
      <xdr:nvSpPr>
        <xdr:cNvPr id="13" name="Rectangle: Diagonal Corners Rounded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E66ADF5-09E1-4F7A-91BC-EFDC7CEFA8D9}"/>
            </a:ext>
          </a:extLst>
        </xdr:cNvPr>
        <xdr:cNvSpPr/>
      </xdr:nvSpPr>
      <xdr:spPr>
        <a:xfrm>
          <a:off x="0" y="5685064"/>
          <a:ext cx="1808389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32</xdr:row>
      <xdr:rowOff>95250</xdr:rowOff>
    </xdr:from>
    <xdr:to>
      <xdr:col>2</xdr:col>
      <xdr:colOff>583746</xdr:colOff>
      <xdr:row>34</xdr:row>
      <xdr:rowOff>92528</xdr:rowOff>
    </xdr:to>
    <xdr:sp macro="" textlink="">
      <xdr:nvSpPr>
        <xdr:cNvPr id="14" name="Rectangle: Diagonal Corners Rounded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4CFD1AA-AED6-4B31-9D5E-D0B9661866BB}"/>
            </a:ext>
          </a:extLst>
        </xdr:cNvPr>
        <xdr:cNvSpPr/>
      </xdr:nvSpPr>
      <xdr:spPr>
        <a:xfrm>
          <a:off x="0" y="6191250"/>
          <a:ext cx="1808389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DECEMBER</a:t>
          </a:r>
          <a:endParaRPr lang="en-US" sz="1100"/>
        </a:p>
      </xdr:txBody>
    </xdr:sp>
    <xdr:clientData/>
  </xdr:twoCellAnchor>
  <xdr:twoCellAnchor>
    <xdr:from>
      <xdr:col>1</xdr:col>
      <xdr:colOff>117021</xdr:colOff>
      <xdr:row>2</xdr:row>
      <xdr:rowOff>152401</xdr:rowOff>
    </xdr:from>
    <xdr:to>
      <xdr:col>4</xdr:col>
      <xdr:colOff>88445</xdr:colOff>
      <xdr:row>4</xdr:row>
      <xdr:rowOff>149679</xdr:rowOff>
    </xdr:to>
    <xdr:sp macro="" textlink="">
      <xdr:nvSpPr>
        <xdr:cNvPr id="19" name="Rectangle: Diagonal Corners Rounded 1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B489D81-6352-4632-9349-58724524A8E5}"/>
            </a:ext>
          </a:extLst>
        </xdr:cNvPr>
        <xdr:cNvSpPr/>
      </xdr:nvSpPr>
      <xdr:spPr>
        <a:xfrm>
          <a:off x="729342" y="533401"/>
          <a:ext cx="1808389" cy="378278"/>
        </a:xfrm>
        <a:prstGeom prst="round2Diag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Georgia" panose="02040502050405020303" pitchFamily="18" charset="0"/>
            </a:rPr>
            <a:t>JANUARY</a:t>
          </a:r>
        </a:p>
      </xdr:txBody>
    </xdr:sp>
    <xdr:clientData/>
  </xdr:twoCellAnchor>
  <xdr:twoCellAnchor>
    <xdr:from>
      <xdr:col>43</xdr:col>
      <xdr:colOff>591912</xdr:colOff>
      <xdr:row>0</xdr:row>
      <xdr:rowOff>0</xdr:rowOff>
    </xdr:from>
    <xdr:to>
      <xdr:col>58</xdr:col>
      <xdr:colOff>23813</xdr:colOff>
      <xdr:row>2</xdr:row>
      <xdr:rowOff>68036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115107E-6C2F-458D-B9B4-494DBB7AFC2E}"/>
            </a:ext>
          </a:extLst>
        </xdr:cNvPr>
        <xdr:cNvSpPr/>
      </xdr:nvSpPr>
      <xdr:spPr>
        <a:xfrm>
          <a:off x="21927912" y="0"/>
          <a:ext cx="9206932" cy="44903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chemeClr val="tx1"/>
              </a:solidFill>
              <a:latin typeface="Bell MT" panose="02020503060305020303" pitchFamily="18" charset="0"/>
            </a:rPr>
            <a:t>Monthly Reports</a:t>
          </a:r>
        </a:p>
      </xdr:txBody>
    </xdr:sp>
    <xdr:clientData/>
  </xdr:twoCellAnchor>
  <xdr:twoCellAnchor>
    <xdr:from>
      <xdr:col>2</xdr:col>
      <xdr:colOff>300404</xdr:colOff>
      <xdr:row>0</xdr:row>
      <xdr:rowOff>143791</xdr:rowOff>
    </xdr:from>
    <xdr:to>
      <xdr:col>3</xdr:col>
      <xdr:colOff>365432</xdr:colOff>
      <xdr:row>1</xdr:row>
      <xdr:rowOff>155697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24DD964-7DFD-4C55-8BAC-3837B6AF0502}"/>
            </a:ext>
          </a:extLst>
        </xdr:cNvPr>
        <xdr:cNvSpPr/>
      </xdr:nvSpPr>
      <xdr:spPr>
        <a:xfrm>
          <a:off x="1516673" y="143791"/>
          <a:ext cx="673163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From</a:t>
          </a:r>
        </a:p>
      </xdr:txBody>
    </xdr:sp>
    <xdr:clientData/>
  </xdr:twoCellAnchor>
  <xdr:twoCellAnchor>
    <xdr:from>
      <xdr:col>3</xdr:col>
      <xdr:colOff>370374</xdr:colOff>
      <xdr:row>0</xdr:row>
      <xdr:rowOff>139212</xdr:rowOff>
    </xdr:from>
    <xdr:to>
      <xdr:col>5</xdr:col>
      <xdr:colOff>216510</xdr:colOff>
      <xdr:row>1</xdr:row>
      <xdr:rowOff>151118</xdr:rowOff>
    </xdr:to>
    <xdr:sp macro="" textlink="$G$4">
      <xdr:nvSpPr>
        <xdr:cNvPr id="20" name="Rectangle 19">
          <a:extLst>
            <a:ext uri="{FF2B5EF4-FFF2-40B4-BE49-F238E27FC236}">
              <a16:creationId xmlns:a16="http://schemas.microsoft.com/office/drawing/2014/main" id="{E38A7723-177A-45C1-B546-F984CEAD47ED}"/>
            </a:ext>
          </a:extLst>
        </xdr:cNvPr>
        <xdr:cNvSpPr/>
      </xdr:nvSpPr>
      <xdr:spPr>
        <a:xfrm>
          <a:off x="2199174" y="139212"/>
          <a:ext cx="1065336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AF7FD6A-326D-4FD2-93D5-C10684C050A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1-Jan-2026</a:t>
          </a:fld>
          <a:endParaRPr lang="en-US" sz="1100"/>
        </a:p>
      </xdr:txBody>
    </xdr:sp>
    <xdr:clientData/>
  </xdr:twoCellAnchor>
  <xdr:twoCellAnchor>
    <xdr:from>
      <xdr:col>5</xdr:col>
      <xdr:colOff>328246</xdr:colOff>
      <xdr:row>0</xdr:row>
      <xdr:rowOff>149653</xdr:rowOff>
    </xdr:from>
    <xdr:to>
      <xdr:col>6</xdr:col>
      <xdr:colOff>451890</xdr:colOff>
      <xdr:row>1</xdr:row>
      <xdr:rowOff>161559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C4F48D1-CBD0-46E5-A21F-3BD539C206B9}"/>
            </a:ext>
          </a:extLst>
        </xdr:cNvPr>
        <xdr:cNvSpPr/>
      </xdr:nvSpPr>
      <xdr:spPr>
        <a:xfrm>
          <a:off x="3368919" y="149653"/>
          <a:ext cx="673163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To</a:t>
          </a:r>
        </a:p>
      </xdr:txBody>
    </xdr:sp>
    <xdr:clientData/>
  </xdr:twoCellAnchor>
  <xdr:twoCellAnchor>
    <xdr:from>
      <xdr:col>6</xdr:col>
      <xdr:colOff>456832</xdr:colOff>
      <xdr:row>0</xdr:row>
      <xdr:rowOff>147272</xdr:rowOff>
    </xdr:from>
    <xdr:to>
      <xdr:col>7</xdr:col>
      <xdr:colOff>537429</xdr:colOff>
      <xdr:row>1</xdr:row>
      <xdr:rowOff>159178</xdr:rowOff>
    </xdr:to>
    <xdr:sp macro="" textlink="$K$4">
      <xdr:nvSpPr>
        <xdr:cNvPr id="22" name="Rectangle 21">
          <a:extLst>
            <a:ext uri="{FF2B5EF4-FFF2-40B4-BE49-F238E27FC236}">
              <a16:creationId xmlns:a16="http://schemas.microsoft.com/office/drawing/2014/main" id="{1F4C27FE-0094-47D8-B134-AE09D847945F}"/>
            </a:ext>
          </a:extLst>
        </xdr:cNvPr>
        <xdr:cNvSpPr/>
      </xdr:nvSpPr>
      <xdr:spPr>
        <a:xfrm>
          <a:off x="4047024" y="147272"/>
          <a:ext cx="1062405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F40C6E-C0CB-4AF1-BD78-7DC7EA8C2F5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31-Jan-2026</a:t>
          </a:fld>
          <a:endParaRPr lang="en-US" sz="1100"/>
        </a:p>
      </xdr:txBody>
    </xdr:sp>
    <xdr:clientData/>
  </xdr:twoCellAnchor>
  <xdr:twoCellAnchor>
    <xdr:from>
      <xdr:col>7</xdr:col>
      <xdr:colOff>1128346</xdr:colOff>
      <xdr:row>0</xdr:row>
      <xdr:rowOff>109904</xdr:rowOff>
    </xdr:from>
    <xdr:to>
      <xdr:col>15</xdr:col>
      <xdr:colOff>314325</xdr:colOff>
      <xdr:row>2</xdr:row>
      <xdr:rowOff>14654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4637B406-4183-40B9-90D7-EC89EC3FAC27}"/>
            </a:ext>
          </a:extLst>
        </xdr:cNvPr>
        <xdr:cNvSpPr/>
      </xdr:nvSpPr>
      <xdr:spPr>
        <a:xfrm>
          <a:off x="5709871" y="109904"/>
          <a:ext cx="4100879" cy="2857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1348884</xdr:colOff>
      <xdr:row>0</xdr:row>
      <xdr:rowOff>131886</xdr:rowOff>
    </xdr:from>
    <xdr:to>
      <xdr:col>12</xdr:col>
      <xdr:colOff>123825</xdr:colOff>
      <xdr:row>2</xdr:row>
      <xdr:rowOff>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AC033487-E6F8-41CD-9884-2C374469EAA7}"/>
            </a:ext>
          </a:extLst>
        </xdr:cNvPr>
        <xdr:cNvSpPr/>
      </xdr:nvSpPr>
      <xdr:spPr>
        <a:xfrm>
          <a:off x="5930409" y="131886"/>
          <a:ext cx="2413491" cy="2491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0">
              <a:solidFill>
                <a:sysClr val="windowText" lastClr="000000"/>
              </a:solidFill>
              <a:latin typeface="Bahnschrift SemiBold Condensed" panose="020B0502040204020203" pitchFamily="34" charset="0"/>
            </a:rPr>
            <a:t>Dashboard For the Month of</a:t>
          </a:r>
        </a:p>
      </xdr:txBody>
    </xdr:sp>
    <xdr:clientData/>
  </xdr:twoCellAnchor>
  <xdr:twoCellAnchor>
    <xdr:from>
      <xdr:col>11</xdr:col>
      <xdr:colOff>219074</xdr:colOff>
      <xdr:row>0</xdr:row>
      <xdr:rowOff>109971</xdr:rowOff>
    </xdr:from>
    <xdr:to>
      <xdr:col>15</xdr:col>
      <xdr:colOff>180974</xdr:colOff>
      <xdr:row>1</xdr:row>
      <xdr:rowOff>181841</xdr:rowOff>
    </xdr:to>
    <xdr:sp macro="" textlink="$I$4">
      <xdr:nvSpPr>
        <xdr:cNvPr id="27" name="Rectangle 26">
          <a:extLst>
            <a:ext uri="{FF2B5EF4-FFF2-40B4-BE49-F238E27FC236}">
              <a16:creationId xmlns:a16="http://schemas.microsoft.com/office/drawing/2014/main" id="{FB5CB919-59EE-4C73-8510-36DFD1628021}"/>
            </a:ext>
          </a:extLst>
        </xdr:cNvPr>
        <xdr:cNvSpPr/>
      </xdr:nvSpPr>
      <xdr:spPr>
        <a:xfrm>
          <a:off x="8038233" y="109971"/>
          <a:ext cx="1633105" cy="2623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BB569BB-9BB2-4291-BB2C-506B0E15CC47}" type="TxLink">
            <a:rPr lang="en-US" sz="1800" b="1" i="0" u="none" strike="noStrike">
              <a:solidFill>
                <a:srgbClr val="7030A0"/>
              </a:solidFill>
              <a:latin typeface="Bell MT" panose="02020503060305020303" pitchFamily="18" charset="0"/>
              <a:ea typeface="Calibri"/>
              <a:cs typeface="Calibri"/>
            </a:rPr>
            <a:pPr algn="ctr"/>
            <a:t>January</a:t>
          </a:fld>
          <a:endParaRPr lang="en-US" sz="1800" b="1">
            <a:solidFill>
              <a:srgbClr val="7030A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29</xdr:col>
      <xdr:colOff>142854</xdr:colOff>
      <xdr:row>0</xdr:row>
      <xdr:rowOff>83343</xdr:rowOff>
    </xdr:from>
    <xdr:to>
      <xdr:col>30</xdr:col>
      <xdr:colOff>71417</xdr:colOff>
      <xdr:row>2</xdr:row>
      <xdr:rowOff>23812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7A71184-9939-4CE8-8720-CFF81B2683C4}"/>
            </a:ext>
          </a:extLst>
        </xdr:cNvPr>
        <xdr:cNvSpPr/>
      </xdr:nvSpPr>
      <xdr:spPr>
        <a:xfrm>
          <a:off x="15275698" y="83343"/>
          <a:ext cx="381000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</a:t>
          </a:r>
        </a:p>
      </xdr:txBody>
    </xdr:sp>
    <xdr:clientData/>
  </xdr:twoCellAnchor>
  <xdr:twoCellAnchor>
    <xdr:from>
      <xdr:col>30</xdr:col>
      <xdr:colOff>47605</xdr:colOff>
      <xdr:row>0</xdr:row>
      <xdr:rowOff>95250</xdr:rowOff>
    </xdr:from>
    <xdr:to>
      <xdr:col>32</xdr:col>
      <xdr:colOff>226198</xdr:colOff>
      <xdr:row>2</xdr:row>
      <xdr:rowOff>11906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28DE9422-2966-4C8B-BEFB-8839186F5723}"/>
            </a:ext>
          </a:extLst>
        </xdr:cNvPr>
        <xdr:cNvSpPr/>
      </xdr:nvSpPr>
      <xdr:spPr>
        <a:xfrm>
          <a:off x="15632886" y="95250"/>
          <a:ext cx="892968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PRESENT</a:t>
          </a:r>
        </a:p>
      </xdr:txBody>
    </xdr:sp>
    <xdr:clientData/>
  </xdr:twoCellAnchor>
  <xdr:twoCellAnchor>
    <xdr:from>
      <xdr:col>32</xdr:col>
      <xdr:colOff>390507</xdr:colOff>
      <xdr:row>0</xdr:row>
      <xdr:rowOff>80963</xdr:rowOff>
    </xdr:from>
    <xdr:to>
      <xdr:col>33</xdr:col>
      <xdr:colOff>378600</xdr:colOff>
      <xdr:row>2</xdr:row>
      <xdr:rowOff>21432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A22C504D-F096-4809-920E-3263A99BF11E}"/>
            </a:ext>
          </a:extLst>
        </xdr:cNvPr>
        <xdr:cNvSpPr/>
      </xdr:nvSpPr>
      <xdr:spPr>
        <a:xfrm>
          <a:off x="16690163" y="80963"/>
          <a:ext cx="381000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🔴</a:t>
          </a:r>
        </a:p>
      </xdr:txBody>
    </xdr:sp>
    <xdr:clientData/>
  </xdr:twoCellAnchor>
  <xdr:twoCellAnchor>
    <xdr:from>
      <xdr:col>33</xdr:col>
      <xdr:colOff>354788</xdr:colOff>
      <xdr:row>0</xdr:row>
      <xdr:rowOff>92870</xdr:rowOff>
    </xdr:from>
    <xdr:to>
      <xdr:col>35</xdr:col>
      <xdr:colOff>378600</xdr:colOff>
      <xdr:row>2</xdr:row>
      <xdr:rowOff>9526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001868C-5437-44B3-8499-1853BC0519C9}"/>
            </a:ext>
          </a:extLst>
        </xdr:cNvPr>
        <xdr:cNvSpPr/>
      </xdr:nvSpPr>
      <xdr:spPr>
        <a:xfrm>
          <a:off x="17047351" y="92870"/>
          <a:ext cx="892968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ABSENT</a:t>
          </a:r>
        </a:p>
      </xdr:txBody>
    </xdr:sp>
    <xdr:clientData/>
  </xdr:twoCellAnchor>
  <xdr:twoCellAnchor>
    <xdr:from>
      <xdr:col>36</xdr:col>
      <xdr:colOff>66656</xdr:colOff>
      <xdr:row>0</xdr:row>
      <xdr:rowOff>78581</xdr:rowOff>
    </xdr:from>
    <xdr:to>
      <xdr:col>36</xdr:col>
      <xdr:colOff>447656</xdr:colOff>
      <xdr:row>2</xdr:row>
      <xdr:rowOff>19050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2D1B0EB-211C-4402-8331-E16644BA081C}"/>
            </a:ext>
          </a:extLst>
        </xdr:cNvPr>
        <xdr:cNvSpPr/>
      </xdr:nvSpPr>
      <xdr:spPr>
        <a:xfrm>
          <a:off x="18033187" y="78581"/>
          <a:ext cx="381000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36</xdr:col>
      <xdr:colOff>423844</xdr:colOff>
      <xdr:row>0</xdr:row>
      <xdr:rowOff>90488</xdr:rowOff>
    </xdr:from>
    <xdr:to>
      <xdr:col>39</xdr:col>
      <xdr:colOff>149999</xdr:colOff>
      <xdr:row>2</xdr:row>
      <xdr:rowOff>7144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E669D77A-FDDC-4B6A-AF9B-000093A193B7}"/>
            </a:ext>
          </a:extLst>
        </xdr:cNvPr>
        <xdr:cNvSpPr/>
      </xdr:nvSpPr>
      <xdr:spPr>
        <a:xfrm>
          <a:off x="18390375" y="90488"/>
          <a:ext cx="892968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LEAVE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272143</xdr:colOff>
      <xdr:row>0</xdr:row>
      <xdr:rowOff>4948</xdr:rowOff>
    </xdr:from>
    <xdr:to>
      <xdr:col>40</xdr:col>
      <xdr:colOff>13607</xdr:colOff>
      <xdr:row>2</xdr:row>
      <xdr:rowOff>72984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FE17421-17D1-47F7-B32E-B2B7DBB92CDB}"/>
            </a:ext>
          </a:extLst>
        </xdr:cNvPr>
        <xdr:cNvSpPr/>
      </xdr:nvSpPr>
      <xdr:spPr>
        <a:xfrm>
          <a:off x="1491343" y="4948"/>
          <a:ext cx="18115189" cy="449036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2</xdr:rowOff>
    </xdr:from>
    <xdr:to>
      <xdr:col>2</xdr:col>
      <xdr:colOff>304799</xdr:colOff>
      <xdr:row>36</xdr:row>
      <xdr:rowOff>27214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A0AFCA0-9573-4FE2-A085-CE38BC8C908A}"/>
            </a:ext>
          </a:extLst>
        </xdr:cNvPr>
        <xdr:cNvSpPr/>
      </xdr:nvSpPr>
      <xdr:spPr>
        <a:xfrm>
          <a:off x="0" y="2"/>
          <a:ext cx="1523999" cy="691378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5</xdr:row>
      <xdr:rowOff>59872</xdr:rowOff>
    </xdr:from>
    <xdr:to>
      <xdr:col>4</xdr:col>
      <xdr:colOff>88446</xdr:colOff>
      <xdr:row>7</xdr:row>
      <xdr:rowOff>57150</xdr:rowOff>
    </xdr:to>
    <xdr:sp macro="" textlink="">
      <xdr:nvSpPr>
        <xdr:cNvPr id="4" name="Rectangle: Diagonal Corners Rounded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A3D827-BA33-4438-877C-26D50F0AEF39}"/>
            </a:ext>
          </a:extLst>
        </xdr:cNvPr>
        <xdr:cNvSpPr/>
      </xdr:nvSpPr>
      <xdr:spPr>
        <a:xfrm>
          <a:off x="723900" y="1021897"/>
          <a:ext cx="1802946" cy="387803"/>
        </a:xfrm>
        <a:prstGeom prst="round2Diag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noProof="0">
              <a:solidFill>
                <a:sysClr val="windowText" lastClr="000000"/>
              </a:solidFill>
              <a:latin typeface="Georgia" panose="02040502050405020303" pitchFamily="18" charset="0"/>
              <a:ea typeface="+mn-ea"/>
              <a:cs typeface="+mn-cs"/>
            </a:rPr>
            <a:t>FEBRUARY</a:t>
          </a:r>
          <a:endParaRPr lang="en-US" sz="1100" b="1">
            <a:solidFill>
              <a:sysClr val="windowText" lastClr="000000"/>
            </a:solidFill>
            <a:latin typeface="Georgia" panose="020405020504050203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7</xdr:row>
      <xdr:rowOff>185057</xdr:rowOff>
    </xdr:from>
    <xdr:to>
      <xdr:col>2</xdr:col>
      <xdr:colOff>583746</xdr:colOff>
      <xdr:row>9</xdr:row>
      <xdr:rowOff>182335</xdr:rowOff>
    </xdr:to>
    <xdr:sp macro="" textlink="">
      <xdr:nvSpPr>
        <xdr:cNvPr id="5" name="Rectangle: Diagonal Corners Rounded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E038C8-6087-4698-B4BB-10C4FAC0373E}"/>
            </a:ext>
          </a:extLst>
        </xdr:cNvPr>
        <xdr:cNvSpPr/>
      </xdr:nvSpPr>
      <xdr:spPr>
        <a:xfrm>
          <a:off x="0" y="1537607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10</xdr:row>
      <xdr:rowOff>92529</xdr:rowOff>
    </xdr:from>
    <xdr:to>
      <xdr:col>2</xdr:col>
      <xdr:colOff>583746</xdr:colOff>
      <xdr:row>12</xdr:row>
      <xdr:rowOff>89807</xdr:rowOff>
    </xdr:to>
    <xdr:sp macro="" textlink="">
      <xdr:nvSpPr>
        <xdr:cNvPr id="6" name="Rectangle: Diagonal Corners Rounded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A07BC2-3FD6-454B-A6A7-DF7EB7E71E7F}"/>
            </a:ext>
          </a:extLst>
        </xdr:cNvPr>
        <xdr:cNvSpPr/>
      </xdr:nvSpPr>
      <xdr:spPr>
        <a:xfrm>
          <a:off x="0" y="20165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2721</xdr:colOff>
      <xdr:row>13</xdr:row>
      <xdr:rowOff>40822</xdr:rowOff>
    </xdr:from>
    <xdr:to>
      <xdr:col>2</xdr:col>
      <xdr:colOff>586467</xdr:colOff>
      <xdr:row>15</xdr:row>
      <xdr:rowOff>38100</xdr:rowOff>
    </xdr:to>
    <xdr:sp macro="" textlink="">
      <xdr:nvSpPr>
        <xdr:cNvPr id="7" name="Rectangle: Diagonal Corners Rounded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9B9D408-8E59-42CE-90F5-B260C69B99DF}"/>
            </a:ext>
          </a:extLst>
        </xdr:cNvPr>
        <xdr:cNvSpPr/>
      </xdr:nvSpPr>
      <xdr:spPr>
        <a:xfrm>
          <a:off x="2721" y="2536372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16</xdr:row>
      <xdr:rowOff>2721</xdr:rowOff>
    </xdr:from>
    <xdr:to>
      <xdr:col>2</xdr:col>
      <xdr:colOff>583746</xdr:colOff>
      <xdr:row>17</xdr:row>
      <xdr:rowOff>190499</xdr:rowOff>
    </xdr:to>
    <xdr:sp macro="" textlink="">
      <xdr:nvSpPr>
        <xdr:cNvPr id="8" name="Rectangle: Diagonal Corners Rounded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4B0F6ED-CD60-421D-8976-2541A849F976}"/>
            </a:ext>
          </a:extLst>
        </xdr:cNvPr>
        <xdr:cNvSpPr/>
      </xdr:nvSpPr>
      <xdr:spPr>
        <a:xfrm>
          <a:off x="0" y="306977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18</xdr:row>
      <xdr:rowOff>168729</xdr:rowOff>
    </xdr:from>
    <xdr:to>
      <xdr:col>2</xdr:col>
      <xdr:colOff>583746</xdr:colOff>
      <xdr:row>20</xdr:row>
      <xdr:rowOff>166007</xdr:rowOff>
    </xdr:to>
    <xdr:sp macro="" textlink="">
      <xdr:nvSpPr>
        <xdr:cNvPr id="9" name="Rectangle: Diagonal Corners Rounded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497DE25-FE18-43C2-A18E-379236600DEA}"/>
            </a:ext>
          </a:extLst>
        </xdr:cNvPr>
        <xdr:cNvSpPr/>
      </xdr:nvSpPr>
      <xdr:spPr>
        <a:xfrm>
          <a:off x="0" y="36167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21</xdr:row>
      <xdr:rowOff>125186</xdr:rowOff>
    </xdr:from>
    <xdr:to>
      <xdr:col>2</xdr:col>
      <xdr:colOff>583746</xdr:colOff>
      <xdr:row>23</xdr:row>
      <xdr:rowOff>122464</xdr:rowOff>
    </xdr:to>
    <xdr:sp macro="" textlink="">
      <xdr:nvSpPr>
        <xdr:cNvPr id="10" name="Rectangle: Diagonal Corners Rounded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E0992D2-503C-4FEC-85C3-9AFA7C1B86CB}"/>
            </a:ext>
          </a:extLst>
        </xdr:cNvPr>
        <xdr:cNvSpPr/>
      </xdr:nvSpPr>
      <xdr:spPr>
        <a:xfrm>
          <a:off x="0" y="4144736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24</xdr:row>
      <xdr:rowOff>73480</xdr:rowOff>
    </xdr:from>
    <xdr:to>
      <xdr:col>2</xdr:col>
      <xdr:colOff>583746</xdr:colOff>
      <xdr:row>26</xdr:row>
      <xdr:rowOff>70758</xdr:rowOff>
    </xdr:to>
    <xdr:sp macro="" textlink="">
      <xdr:nvSpPr>
        <xdr:cNvPr id="11" name="Rectangle: Diagonal Corners Rounded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8D27FDE-3946-4D0E-90A8-2A2BBB7E934B}"/>
            </a:ext>
          </a:extLst>
        </xdr:cNvPr>
        <xdr:cNvSpPr/>
      </xdr:nvSpPr>
      <xdr:spPr>
        <a:xfrm>
          <a:off x="0" y="467405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SEPTEMBER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27</xdr:row>
      <xdr:rowOff>8166</xdr:rowOff>
    </xdr:from>
    <xdr:to>
      <xdr:col>2</xdr:col>
      <xdr:colOff>583746</xdr:colOff>
      <xdr:row>29</xdr:row>
      <xdr:rowOff>5444</xdr:rowOff>
    </xdr:to>
    <xdr:sp macro="" textlink="">
      <xdr:nvSpPr>
        <xdr:cNvPr id="12" name="Rectangle: Diagonal Corners Rounded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7C9D76F-65D6-4284-96D5-6A109FB93C0C}"/>
            </a:ext>
          </a:extLst>
        </xdr:cNvPr>
        <xdr:cNvSpPr/>
      </xdr:nvSpPr>
      <xdr:spPr>
        <a:xfrm>
          <a:off x="0" y="518024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29</xdr:row>
      <xdr:rowOff>160564</xdr:rowOff>
    </xdr:from>
    <xdr:to>
      <xdr:col>2</xdr:col>
      <xdr:colOff>583746</xdr:colOff>
      <xdr:row>31</xdr:row>
      <xdr:rowOff>157842</xdr:rowOff>
    </xdr:to>
    <xdr:sp macro="" textlink="">
      <xdr:nvSpPr>
        <xdr:cNvPr id="13" name="Rectangle: Diagonal Corners Rounded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D6331CA-E2FD-47FE-ACE8-F392906FA0E2}"/>
            </a:ext>
          </a:extLst>
        </xdr:cNvPr>
        <xdr:cNvSpPr/>
      </xdr:nvSpPr>
      <xdr:spPr>
        <a:xfrm>
          <a:off x="0" y="571363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32</xdr:row>
      <xdr:rowOff>95250</xdr:rowOff>
    </xdr:from>
    <xdr:to>
      <xdr:col>2</xdr:col>
      <xdr:colOff>583746</xdr:colOff>
      <xdr:row>34</xdr:row>
      <xdr:rowOff>92528</xdr:rowOff>
    </xdr:to>
    <xdr:sp macro="" textlink="">
      <xdr:nvSpPr>
        <xdr:cNvPr id="14" name="Rectangle: Diagonal Corners Rounded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955F695-B478-4279-B7C8-1EED5F5BEF28}"/>
            </a:ext>
          </a:extLst>
        </xdr:cNvPr>
        <xdr:cNvSpPr/>
      </xdr:nvSpPr>
      <xdr:spPr>
        <a:xfrm>
          <a:off x="0" y="621982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DECEMBER</a:t>
          </a:r>
          <a:endParaRPr lang="en-US" sz="1100"/>
        </a:p>
      </xdr:txBody>
    </xdr:sp>
    <xdr:clientData/>
  </xdr:twoCellAnchor>
  <xdr:twoCellAnchor>
    <xdr:from>
      <xdr:col>0</xdr:col>
      <xdr:colOff>2721</xdr:colOff>
      <xdr:row>2</xdr:row>
      <xdr:rowOff>152401</xdr:rowOff>
    </xdr:from>
    <xdr:to>
      <xdr:col>2</xdr:col>
      <xdr:colOff>583745</xdr:colOff>
      <xdr:row>4</xdr:row>
      <xdr:rowOff>149679</xdr:rowOff>
    </xdr:to>
    <xdr:sp macro="" textlink="">
      <xdr:nvSpPr>
        <xdr:cNvPr id="15" name="Rectangle: Diagonal Corners Rounded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D9555A7-4955-4D8D-AEC7-934822E205B7}"/>
            </a:ext>
          </a:extLst>
        </xdr:cNvPr>
        <xdr:cNvSpPr/>
      </xdr:nvSpPr>
      <xdr:spPr>
        <a:xfrm>
          <a:off x="2721" y="533401"/>
          <a:ext cx="1800224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0" lang="en-US" sz="11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43</xdr:col>
      <xdr:colOff>591912</xdr:colOff>
      <xdr:row>0</xdr:row>
      <xdr:rowOff>0</xdr:rowOff>
    </xdr:from>
    <xdr:to>
      <xdr:col>58</xdr:col>
      <xdr:colOff>23813</xdr:colOff>
      <xdr:row>2</xdr:row>
      <xdr:rowOff>68036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EC5210E-E97A-400C-A434-EA6CA6A6A32A}"/>
            </a:ext>
          </a:extLst>
        </xdr:cNvPr>
        <xdr:cNvSpPr/>
      </xdr:nvSpPr>
      <xdr:spPr>
        <a:xfrm>
          <a:off x="22013637" y="0"/>
          <a:ext cx="11823926" cy="44903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chemeClr val="tx1"/>
              </a:solidFill>
              <a:latin typeface="Bell MT" panose="02020503060305020303" pitchFamily="18" charset="0"/>
            </a:rPr>
            <a:t>Monthly Reports</a:t>
          </a:r>
        </a:p>
      </xdr:txBody>
    </xdr:sp>
    <xdr:clientData/>
  </xdr:twoCellAnchor>
  <xdr:twoCellAnchor>
    <xdr:from>
      <xdr:col>2</xdr:col>
      <xdr:colOff>300404</xdr:colOff>
      <xdr:row>0</xdr:row>
      <xdr:rowOff>143791</xdr:rowOff>
    </xdr:from>
    <xdr:to>
      <xdr:col>3</xdr:col>
      <xdr:colOff>365432</xdr:colOff>
      <xdr:row>1</xdr:row>
      <xdr:rowOff>155697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3555240-A310-431A-B756-1A7243111F01}"/>
            </a:ext>
          </a:extLst>
        </xdr:cNvPr>
        <xdr:cNvSpPr/>
      </xdr:nvSpPr>
      <xdr:spPr>
        <a:xfrm>
          <a:off x="1519604" y="143791"/>
          <a:ext cx="674628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From</a:t>
          </a:r>
        </a:p>
      </xdr:txBody>
    </xdr:sp>
    <xdr:clientData/>
  </xdr:twoCellAnchor>
  <xdr:twoCellAnchor>
    <xdr:from>
      <xdr:col>3</xdr:col>
      <xdr:colOff>370374</xdr:colOff>
      <xdr:row>0</xdr:row>
      <xdr:rowOff>139212</xdr:rowOff>
    </xdr:from>
    <xdr:to>
      <xdr:col>5</xdr:col>
      <xdr:colOff>216510</xdr:colOff>
      <xdr:row>1</xdr:row>
      <xdr:rowOff>151118</xdr:rowOff>
    </xdr:to>
    <xdr:sp macro="" textlink="$G$4">
      <xdr:nvSpPr>
        <xdr:cNvPr id="18" name="Rectangle 17">
          <a:extLst>
            <a:ext uri="{FF2B5EF4-FFF2-40B4-BE49-F238E27FC236}">
              <a16:creationId xmlns:a16="http://schemas.microsoft.com/office/drawing/2014/main" id="{64D8F376-98E2-4246-B48D-029CF84D20DF}"/>
            </a:ext>
          </a:extLst>
        </xdr:cNvPr>
        <xdr:cNvSpPr/>
      </xdr:nvSpPr>
      <xdr:spPr>
        <a:xfrm>
          <a:off x="2199174" y="139212"/>
          <a:ext cx="1065336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AF7FD6A-326D-4FD2-93D5-C10684C050A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1-Feb-2026</a:t>
          </a:fld>
          <a:endParaRPr lang="en-US" sz="1100"/>
        </a:p>
      </xdr:txBody>
    </xdr:sp>
    <xdr:clientData/>
  </xdr:twoCellAnchor>
  <xdr:twoCellAnchor>
    <xdr:from>
      <xdr:col>5</xdr:col>
      <xdr:colOff>328246</xdr:colOff>
      <xdr:row>0</xdr:row>
      <xdr:rowOff>149653</xdr:rowOff>
    </xdr:from>
    <xdr:to>
      <xdr:col>6</xdr:col>
      <xdr:colOff>451890</xdr:colOff>
      <xdr:row>1</xdr:row>
      <xdr:rowOff>161559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F5CB373-6E28-487C-93E0-9CAB78878608}"/>
            </a:ext>
          </a:extLst>
        </xdr:cNvPr>
        <xdr:cNvSpPr/>
      </xdr:nvSpPr>
      <xdr:spPr>
        <a:xfrm>
          <a:off x="3376246" y="149653"/>
          <a:ext cx="676094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To</a:t>
          </a:r>
        </a:p>
      </xdr:txBody>
    </xdr:sp>
    <xdr:clientData/>
  </xdr:twoCellAnchor>
  <xdr:twoCellAnchor>
    <xdr:from>
      <xdr:col>6</xdr:col>
      <xdr:colOff>456832</xdr:colOff>
      <xdr:row>0</xdr:row>
      <xdr:rowOff>147272</xdr:rowOff>
    </xdr:from>
    <xdr:to>
      <xdr:col>7</xdr:col>
      <xdr:colOff>537429</xdr:colOff>
      <xdr:row>1</xdr:row>
      <xdr:rowOff>159178</xdr:rowOff>
    </xdr:to>
    <xdr:sp macro="" textlink="$K$4">
      <xdr:nvSpPr>
        <xdr:cNvPr id="20" name="Rectangle 19">
          <a:extLst>
            <a:ext uri="{FF2B5EF4-FFF2-40B4-BE49-F238E27FC236}">
              <a16:creationId xmlns:a16="http://schemas.microsoft.com/office/drawing/2014/main" id="{C5DFB1B2-29E6-4961-AC34-7B5392E7375B}"/>
            </a:ext>
          </a:extLst>
        </xdr:cNvPr>
        <xdr:cNvSpPr/>
      </xdr:nvSpPr>
      <xdr:spPr>
        <a:xfrm>
          <a:off x="4057282" y="147272"/>
          <a:ext cx="1061672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F40C6E-C0CB-4AF1-BD78-7DC7EA8C2F5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28-Feb-2026</a:t>
          </a:fld>
          <a:endParaRPr lang="en-US" sz="1100"/>
        </a:p>
      </xdr:txBody>
    </xdr:sp>
    <xdr:clientData/>
  </xdr:twoCellAnchor>
  <xdr:twoCellAnchor>
    <xdr:from>
      <xdr:col>7</xdr:col>
      <xdr:colOff>1128346</xdr:colOff>
      <xdr:row>0</xdr:row>
      <xdr:rowOff>109904</xdr:rowOff>
    </xdr:from>
    <xdr:to>
      <xdr:col>15</xdr:col>
      <xdr:colOff>314325</xdr:colOff>
      <xdr:row>2</xdr:row>
      <xdr:rowOff>14654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F1FBDFD8-0BA6-41C7-B986-5CA6F21CEA09}"/>
            </a:ext>
          </a:extLst>
        </xdr:cNvPr>
        <xdr:cNvSpPr/>
      </xdr:nvSpPr>
      <xdr:spPr>
        <a:xfrm>
          <a:off x="5709871" y="109904"/>
          <a:ext cx="4100879" cy="2857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1348884</xdr:colOff>
      <xdr:row>0</xdr:row>
      <xdr:rowOff>131886</xdr:rowOff>
    </xdr:from>
    <xdr:to>
      <xdr:col>12</xdr:col>
      <xdr:colOff>123825</xdr:colOff>
      <xdr:row>2</xdr:row>
      <xdr:rowOff>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CD9AA270-CB39-4460-89C3-D0B1DBBDF0C1}"/>
            </a:ext>
          </a:extLst>
        </xdr:cNvPr>
        <xdr:cNvSpPr/>
      </xdr:nvSpPr>
      <xdr:spPr>
        <a:xfrm>
          <a:off x="5930409" y="131886"/>
          <a:ext cx="2413491" cy="2491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0">
              <a:solidFill>
                <a:sysClr val="windowText" lastClr="000000"/>
              </a:solidFill>
              <a:latin typeface="Bahnschrift SemiBold Condensed" panose="020B0502040204020203" pitchFamily="34" charset="0"/>
            </a:rPr>
            <a:t>Dashboard For the Month of</a:t>
          </a:r>
        </a:p>
      </xdr:txBody>
    </xdr:sp>
    <xdr:clientData/>
  </xdr:twoCellAnchor>
  <xdr:twoCellAnchor>
    <xdr:from>
      <xdr:col>11</xdr:col>
      <xdr:colOff>171449</xdr:colOff>
      <xdr:row>0</xdr:row>
      <xdr:rowOff>109971</xdr:rowOff>
    </xdr:from>
    <xdr:to>
      <xdr:col>15</xdr:col>
      <xdr:colOff>133349</xdr:colOff>
      <xdr:row>1</xdr:row>
      <xdr:rowOff>181841</xdr:rowOff>
    </xdr:to>
    <xdr:sp macro="" textlink="$I$4">
      <xdr:nvSpPr>
        <xdr:cNvPr id="23" name="Rectangle 22">
          <a:extLst>
            <a:ext uri="{FF2B5EF4-FFF2-40B4-BE49-F238E27FC236}">
              <a16:creationId xmlns:a16="http://schemas.microsoft.com/office/drawing/2014/main" id="{4CBEA05A-5550-45F4-8489-534327BD82A9}"/>
            </a:ext>
          </a:extLst>
        </xdr:cNvPr>
        <xdr:cNvSpPr/>
      </xdr:nvSpPr>
      <xdr:spPr>
        <a:xfrm>
          <a:off x="8000999" y="109971"/>
          <a:ext cx="1628775" cy="2623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BB569BB-9BB2-4291-BB2C-506B0E15CC47}" type="TxLink">
            <a:rPr lang="en-US" sz="1800" b="1" i="0" u="none" strike="noStrike">
              <a:solidFill>
                <a:srgbClr val="7030A0"/>
              </a:solidFill>
              <a:latin typeface="Bell MT" panose="02020503060305020303" pitchFamily="18" charset="0"/>
              <a:ea typeface="Calibri"/>
              <a:cs typeface="Calibri"/>
            </a:rPr>
            <a:pPr algn="ctr"/>
            <a:t>February</a:t>
          </a:fld>
          <a:endParaRPr lang="en-US" sz="1800" b="1">
            <a:solidFill>
              <a:srgbClr val="7030A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29</xdr:col>
      <xdr:colOff>142854</xdr:colOff>
      <xdr:row>0</xdr:row>
      <xdr:rowOff>83343</xdr:rowOff>
    </xdr:from>
    <xdr:to>
      <xdr:col>30</xdr:col>
      <xdr:colOff>71417</xdr:colOff>
      <xdr:row>2</xdr:row>
      <xdr:rowOff>23812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0A4F5D8-E05C-4280-A54C-4639DC6BF8BB}"/>
            </a:ext>
          </a:extLst>
        </xdr:cNvPr>
        <xdr:cNvSpPr/>
      </xdr:nvSpPr>
      <xdr:spPr>
        <a:xfrm>
          <a:off x="15335229" y="83343"/>
          <a:ext cx="385763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</a:t>
          </a:r>
        </a:p>
      </xdr:txBody>
    </xdr:sp>
    <xdr:clientData/>
  </xdr:twoCellAnchor>
  <xdr:twoCellAnchor>
    <xdr:from>
      <xdr:col>30</xdr:col>
      <xdr:colOff>47605</xdr:colOff>
      <xdr:row>0</xdr:row>
      <xdr:rowOff>95250</xdr:rowOff>
    </xdr:from>
    <xdr:to>
      <xdr:col>32</xdr:col>
      <xdr:colOff>226198</xdr:colOff>
      <xdr:row>2</xdr:row>
      <xdr:rowOff>11906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45FB091-FC51-44B8-A9A9-72CBD190A0D9}"/>
            </a:ext>
          </a:extLst>
        </xdr:cNvPr>
        <xdr:cNvSpPr/>
      </xdr:nvSpPr>
      <xdr:spPr>
        <a:xfrm>
          <a:off x="15697180" y="95250"/>
          <a:ext cx="902493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PRESENT</a:t>
          </a:r>
        </a:p>
      </xdr:txBody>
    </xdr:sp>
    <xdr:clientData/>
  </xdr:twoCellAnchor>
  <xdr:twoCellAnchor>
    <xdr:from>
      <xdr:col>32</xdr:col>
      <xdr:colOff>390507</xdr:colOff>
      <xdr:row>0</xdr:row>
      <xdr:rowOff>80963</xdr:rowOff>
    </xdr:from>
    <xdr:to>
      <xdr:col>33</xdr:col>
      <xdr:colOff>378600</xdr:colOff>
      <xdr:row>2</xdr:row>
      <xdr:rowOff>21432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DC4A70B-3793-4517-8058-14B195A466A5}"/>
            </a:ext>
          </a:extLst>
        </xdr:cNvPr>
        <xdr:cNvSpPr/>
      </xdr:nvSpPr>
      <xdr:spPr>
        <a:xfrm>
          <a:off x="16763982" y="80963"/>
          <a:ext cx="378618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🔴</a:t>
          </a:r>
        </a:p>
      </xdr:txBody>
    </xdr:sp>
    <xdr:clientData/>
  </xdr:twoCellAnchor>
  <xdr:twoCellAnchor>
    <xdr:from>
      <xdr:col>33</xdr:col>
      <xdr:colOff>354788</xdr:colOff>
      <xdr:row>0</xdr:row>
      <xdr:rowOff>92870</xdr:rowOff>
    </xdr:from>
    <xdr:to>
      <xdr:col>35</xdr:col>
      <xdr:colOff>378600</xdr:colOff>
      <xdr:row>2</xdr:row>
      <xdr:rowOff>9526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1D5FD95-7E52-4883-AEF8-056DF82AF7A1}"/>
            </a:ext>
          </a:extLst>
        </xdr:cNvPr>
        <xdr:cNvSpPr/>
      </xdr:nvSpPr>
      <xdr:spPr>
        <a:xfrm>
          <a:off x="17118788" y="92870"/>
          <a:ext cx="890587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ABSENT</a:t>
          </a:r>
        </a:p>
      </xdr:txBody>
    </xdr:sp>
    <xdr:clientData/>
  </xdr:twoCellAnchor>
  <xdr:twoCellAnchor>
    <xdr:from>
      <xdr:col>36</xdr:col>
      <xdr:colOff>66656</xdr:colOff>
      <xdr:row>0</xdr:row>
      <xdr:rowOff>78581</xdr:rowOff>
    </xdr:from>
    <xdr:to>
      <xdr:col>36</xdr:col>
      <xdr:colOff>447656</xdr:colOff>
      <xdr:row>2</xdr:row>
      <xdr:rowOff>19050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E915950-11A3-4D3C-9FBF-EDD11EB4B91A}"/>
            </a:ext>
          </a:extLst>
        </xdr:cNvPr>
        <xdr:cNvSpPr/>
      </xdr:nvSpPr>
      <xdr:spPr>
        <a:xfrm>
          <a:off x="18107006" y="78581"/>
          <a:ext cx="381000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36</xdr:col>
      <xdr:colOff>423844</xdr:colOff>
      <xdr:row>0</xdr:row>
      <xdr:rowOff>90488</xdr:rowOff>
    </xdr:from>
    <xdr:to>
      <xdr:col>39</xdr:col>
      <xdr:colOff>149999</xdr:colOff>
      <xdr:row>2</xdr:row>
      <xdr:rowOff>7144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E369536-216A-4563-856E-B449AD82274B}"/>
            </a:ext>
          </a:extLst>
        </xdr:cNvPr>
        <xdr:cNvSpPr/>
      </xdr:nvSpPr>
      <xdr:spPr>
        <a:xfrm>
          <a:off x="18464194" y="90488"/>
          <a:ext cx="897730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LEAVE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272143</xdr:colOff>
      <xdr:row>0</xdr:row>
      <xdr:rowOff>4948</xdr:rowOff>
    </xdr:from>
    <xdr:to>
      <xdr:col>40</xdr:col>
      <xdr:colOff>13607</xdr:colOff>
      <xdr:row>2</xdr:row>
      <xdr:rowOff>72984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6238387-F68A-437A-BCE6-557AE3FA4277}"/>
            </a:ext>
          </a:extLst>
        </xdr:cNvPr>
        <xdr:cNvSpPr/>
      </xdr:nvSpPr>
      <xdr:spPr>
        <a:xfrm>
          <a:off x="1491343" y="4948"/>
          <a:ext cx="18115189" cy="449036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2</xdr:rowOff>
    </xdr:from>
    <xdr:to>
      <xdr:col>2</xdr:col>
      <xdr:colOff>304799</xdr:colOff>
      <xdr:row>36</xdr:row>
      <xdr:rowOff>27214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20EA8CC-2218-4EA2-ACB4-6596EBBA8FCA}"/>
            </a:ext>
          </a:extLst>
        </xdr:cNvPr>
        <xdr:cNvSpPr/>
      </xdr:nvSpPr>
      <xdr:spPr>
        <a:xfrm>
          <a:off x="0" y="2"/>
          <a:ext cx="1523999" cy="691378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59872</xdr:rowOff>
    </xdr:from>
    <xdr:to>
      <xdr:col>2</xdr:col>
      <xdr:colOff>583746</xdr:colOff>
      <xdr:row>7</xdr:row>
      <xdr:rowOff>57150</xdr:rowOff>
    </xdr:to>
    <xdr:sp macro="" textlink="">
      <xdr:nvSpPr>
        <xdr:cNvPr id="4" name="Rectangle: Diagonal Corners Rounded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5CBBC0-E72D-4759-AE2B-7A135720F063}"/>
            </a:ext>
          </a:extLst>
        </xdr:cNvPr>
        <xdr:cNvSpPr/>
      </xdr:nvSpPr>
      <xdr:spPr>
        <a:xfrm>
          <a:off x="0" y="1021897"/>
          <a:ext cx="1802946" cy="387803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FEBRUARY</a:t>
          </a:r>
          <a:endParaRPr lang="en-US" sz="1100"/>
        </a:p>
      </xdr:txBody>
    </xdr:sp>
    <xdr:clientData/>
  </xdr:twoCellAnchor>
  <xdr:twoCellAnchor>
    <xdr:from>
      <xdr:col>1</xdr:col>
      <xdr:colOff>137583</xdr:colOff>
      <xdr:row>8</xdr:row>
      <xdr:rowOff>5140</xdr:rowOff>
    </xdr:from>
    <xdr:to>
      <xdr:col>4</xdr:col>
      <xdr:colOff>107496</xdr:colOff>
      <xdr:row>10</xdr:row>
      <xdr:rowOff>2418</xdr:rowOff>
    </xdr:to>
    <xdr:sp macro="" textlink="">
      <xdr:nvSpPr>
        <xdr:cNvPr id="5" name="Rectangle: Diagonal Corners Rounded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407995-A999-4A51-9A4E-55BD3EBD908D}"/>
            </a:ext>
          </a:extLst>
        </xdr:cNvPr>
        <xdr:cNvSpPr/>
      </xdr:nvSpPr>
      <xdr:spPr>
        <a:xfrm>
          <a:off x="751416" y="1550307"/>
          <a:ext cx="1811413" cy="378278"/>
        </a:xfrm>
        <a:prstGeom prst="round2Diag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noProof="0">
              <a:solidFill>
                <a:sysClr val="windowText" lastClr="000000"/>
              </a:solidFill>
              <a:latin typeface="Georgia" panose="02040502050405020303" pitchFamily="18" charset="0"/>
              <a:ea typeface="+mn-ea"/>
              <a:cs typeface="+mn-cs"/>
            </a:rPr>
            <a:t>MARCH</a:t>
          </a:r>
          <a:endParaRPr lang="en-US" sz="1100" b="1">
            <a:solidFill>
              <a:sysClr val="windowText" lastClr="000000"/>
            </a:solidFill>
            <a:latin typeface="Georgia" panose="020405020504050203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10</xdr:row>
      <xdr:rowOff>92529</xdr:rowOff>
    </xdr:from>
    <xdr:to>
      <xdr:col>2</xdr:col>
      <xdr:colOff>583746</xdr:colOff>
      <xdr:row>12</xdr:row>
      <xdr:rowOff>89807</xdr:rowOff>
    </xdr:to>
    <xdr:sp macro="" textlink="">
      <xdr:nvSpPr>
        <xdr:cNvPr id="6" name="Rectangle: Diagonal Corners Rounded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B66570-6FD9-4E53-9EC7-5F86F260C5F2}"/>
            </a:ext>
          </a:extLst>
        </xdr:cNvPr>
        <xdr:cNvSpPr/>
      </xdr:nvSpPr>
      <xdr:spPr>
        <a:xfrm>
          <a:off x="0" y="20165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2721</xdr:colOff>
      <xdr:row>13</xdr:row>
      <xdr:rowOff>40822</xdr:rowOff>
    </xdr:from>
    <xdr:to>
      <xdr:col>2</xdr:col>
      <xdr:colOff>586467</xdr:colOff>
      <xdr:row>15</xdr:row>
      <xdr:rowOff>38100</xdr:rowOff>
    </xdr:to>
    <xdr:sp macro="" textlink="">
      <xdr:nvSpPr>
        <xdr:cNvPr id="7" name="Rectangle: Diagonal Corners Rounded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2328681-E65F-4CBC-9B44-CF535A0A2E47}"/>
            </a:ext>
          </a:extLst>
        </xdr:cNvPr>
        <xdr:cNvSpPr/>
      </xdr:nvSpPr>
      <xdr:spPr>
        <a:xfrm>
          <a:off x="2721" y="2536372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16</xdr:row>
      <xdr:rowOff>2721</xdr:rowOff>
    </xdr:from>
    <xdr:to>
      <xdr:col>2</xdr:col>
      <xdr:colOff>583746</xdr:colOff>
      <xdr:row>17</xdr:row>
      <xdr:rowOff>190499</xdr:rowOff>
    </xdr:to>
    <xdr:sp macro="" textlink="">
      <xdr:nvSpPr>
        <xdr:cNvPr id="8" name="Rectangle: Diagonal Corners Rounded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E98E26-DF5E-47CC-8170-A3A7740E0FB0}"/>
            </a:ext>
          </a:extLst>
        </xdr:cNvPr>
        <xdr:cNvSpPr/>
      </xdr:nvSpPr>
      <xdr:spPr>
        <a:xfrm>
          <a:off x="0" y="306977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18</xdr:row>
      <xdr:rowOff>168729</xdr:rowOff>
    </xdr:from>
    <xdr:to>
      <xdr:col>2</xdr:col>
      <xdr:colOff>583746</xdr:colOff>
      <xdr:row>20</xdr:row>
      <xdr:rowOff>166007</xdr:rowOff>
    </xdr:to>
    <xdr:sp macro="" textlink="">
      <xdr:nvSpPr>
        <xdr:cNvPr id="9" name="Rectangle: Diagonal Corners Rounded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822B5F1-688D-4784-94DA-43CA27919B3F}"/>
            </a:ext>
          </a:extLst>
        </xdr:cNvPr>
        <xdr:cNvSpPr/>
      </xdr:nvSpPr>
      <xdr:spPr>
        <a:xfrm>
          <a:off x="0" y="36167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21</xdr:row>
      <xdr:rowOff>125186</xdr:rowOff>
    </xdr:from>
    <xdr:to>
      <xdr:col>2</xdr:col>
      <xdr:colOff>583746</xdr:colOff>
      <xdr:row>23</xdr:row>
      <xdr:rowOff>122464</xdr:rowOff>
    </xdr:to>
    <xdr:sp macro="" textlink="">
      <xdr:nvSpPr>
        <xdr:cNvPr id="10" name="Rectangle: Diagonal Corners Rounded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8877B60-B27E-4B27-8B27-6020E869D1BB}"/>
            </a:ext>
          </a:extLst>
        </xdr:cNvPr>
        <xdr:cNvSpPr/>
      </xdr:nvSpPr>
      <xdr:spPr>
        <a:xfrm>
          <a:off x="0" y="4144736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24</xdr:row>
      <xdr:rowOff>73480</xdr:rowOff>
    </xdr:from>
    <xdr:to>
      <xdr:col>2</xdr:col>
      <xdr:colOff>583746</xdr:colOff>
      <xdr:row>26</xdr:row>
      <xdr:rowOff>70758</xdr:rowOff>
    </xdr:to>
    <xdr:sp macro="" textlink="">
      <xdr:nvSpPr>
        <xdr:cNvPr id="11" name="Rectangle: Diagonal Corners Rounded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C372AAD-A27A-49F2-A7BA-F65C1D9F6F93}"/>
            </a:ext>
          </a:extLst>
        </xdr:cNvPr>
        <xdr:cNvSpPr/>
      </xdr:nvSpPr>
      <xdr:spPr>
        <a:xfrm>
          <a:off x="0" y="467405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SEPTEMBER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27</xdr:row>
      <xdr:rowOff>8166</xdr:rowOff>
    </xdr:from>
    <xdr:to>
      <xdr:col>2</xdr:col>
      <xdr:colOff>583746</xdr:colOff>
      <xdr:row>29</xdr:row>
      <xdr:rowOff>5444</xdr:rowOff>
    </xdr:to>
    <xdr:sp macro="" textlink="">
      <xdr:nvSpPr>
        <xdr:cNvPr id="12" name="Rectangle: Diagonal Corners Rounded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D5146C8-313C-4835-AE66-3B140E0F0AA1}"/>
            </a:ext>
          </a:extLst>
        </xdr:cNvPr>
        <xdr:cNvSpPr/>
      </xdr:nvSpPr>
      <xdr:spPr>
        <a:xfrm>
          <a:off x="0" y="518024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29</xdr:row>
      <xdr:rowOff>160564</xdr:rowOff>
    </xdr:from>
    <xdr:to>
      <xdr:col>2</xdr:col>
      <xdr:colOff>583746</xdr:colOff>
      <xdr:row>31</xdr:row>
      <xdr:rowOff>157842</xdr:rowOff>
    </xdr:to>
    <xdr:sp macro="" textlink="">
      <xdr:nvSpPr>
        <xdr:cNvPr id="13" name="Rectangle: Diagonal Corners Rounded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50EA635-98A8-431F-BDF5-AA4F6809B8C8}"/>
            </a:ext>
          </a:extLst>
        </xdr:cNvPr>
        <xdr:cNvSpPr/>
      </xdr:nvSpPr>
      <xdr:spPr>
        <a:xfrm>
          <a:off x="0" y="571363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32</xdr:row>
      <xdr:rowOff>95250</xdr:rowOff>
    </xdr:from>
    <xdr:to>
      <xdr:col>2</xdr:col>
      <xdr:colOff>583746</xdr:colOff>
      <xdr:row>34</xdr:row>
      <xdr:rowOff>92528</xdr:rowOff>
    </xdr:to>
    <xdr:sp macro="" textlink="">
      <xdr:nvSpPr>
        <xdr:cNvPr id="14" name="Rectangle: Diagonal Corners Rounded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D5FCAD2-A796-4EBC-B67D-7294FCE381DD}"/>
            </a:ext>
          </a:extLst>
        </xdr:cNvPr>
        <xdr:cNvSpPr/>
      </xdr:nvSpPr>
      <xdr:spPr>
        <a:xfrm>
          <a:off x="0" y="621982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DECEMBER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2</xdr:col>
      <xdr:colOff>585257</xdr:colOff>
      <xdr:row>4</xdr:row>
      <xdr:rowOff>149679</xdr:rowOff>
    </xdr:to>
    <xdr:sp macro="" textlink="">
      <xdr:nvSpPr>
        <xdr:cNvPr id="15" name="Rectangle: Diagonal Corners Rounded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56B5A2A-E803-46CE-8F22-E6152BC677D9}"/>
            </a:ext>
          </a:extLst>
        </xdr:cNvPr>
        <xdr:cNvSpPr/>
      </xdr:nvSpPr>
      <xdr:spPr>
        <a:xfrm>
          <a:off x="0" y="533401"/>
          <a:ext cx="1812924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0" lang="en-US" sz="11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43</xdr:col>
      <xdr:colOff>591912</xdr:colOff>
      <xdr:row>0</xdr:row>
      <xdr:rowOff>0</xdr:rowOff>
    </xdr:from>
    <xdr:to>
      <xdr:col>58</xdr:col>
      <xdr:colOff>23813</xdr:colOff>
      <xdr:row>2</xdr:row>
      <xdr:rowOff>68036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B5961EF-47CD-4028-8E3F-6A3E50B0AC4F}"/>
            </a:ext>
          </a:extLst>
        </xdr:cNvPr>
        <xdr:cNvSpPr/>
      </xdr:nvSpPr>
      <xdr:spPr>
        <a:xfrm>
          <a:off x="22013637" y="0"/>
          <a:ext cx="11823926" cy="44903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chemeClr val="tx1"/>
              </a:solidFill>
              <a:latin typeface="Bell MT" panose="02020503060305020303" pitchFamily="18" charset="0"/>
            </a:rPr>
            <a:t>Monthly Reports</a:t>
          </a:r>
        </a:p>
      </xdr:txBody>
    </xdr:sp>
    <xdr:clientData/>
  </xdr:twoCellAnchor>
  <xdr:twoCellAnchor>
    <xdr:from>
      <xdr:col>2</xdr:col>
      <xdr:colOff>300404</xdr:colOff>
      <xdr:row>0</xdr:row>
      <xdr:rowOff>143791</xdr:rowOff>
    </xdr:from>
    <xdr:to>
      <xdr:col>3</xdr:col>
      <xdr:colOff>365432</xdr:colOff>
      <xdr:row>1</xdr:row>
      <xdr:rowOff>155697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BB8C7F6-604A-4005-828C-AEA1FABCD51A}"/>
            </a:ext>
          </a:extLst>
        </xdr:cNvPr>
        <xdr:cNvSpPr/>
      </xdr:nvSpPr>
      <xdr:spPr>
        <a:xfrm>
          <a:off x="1519604" y="143791"/>
          <a:ext cx="674628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From</a:t>
          </a:r>
        </a:p>
      </xdr:txBody>
    </xdr:sp>
    <xdr:clientData/>
  </xdr:twoCellAnchor>
  <xdr:twoCellAnchor>
    <xdr:from>
      <xdr:col>3</xdr:col>
      <xdr:colOff>370374</xdr:colOff>
      <xdr:row>0</xdr:row>
      <xdr:rowOff>139212</xdr:rowOff>
    </xdr:from>
    <xdr:to>
      <xdr:col>5</xdr:col>
      <xdr:colOff>216510</xdr:colOff>
      <xdr:row>1</xdr:row>
      <xdr:rowOff>151118</xdr:rowOff>
    </xdr:to>
    <xdr:sp macro="" textlink="$G$4">
      <xdr:nvSpPr>
        <xdr:cNvPr id="18" name="Rectangle 17">
          <a:extLst>
            <a:ext uri="{FF2B5EF4-FFF2-40B4-BE49-F238E27FC236}">
              <a16:creationId xmlns:a16="http://schemas.microsoft.com/office/drawing/2014/main" id="{C0A85EDF-0DE1-4298-B48C-0910AE92A093}"/>
            </a:ext>
          </a:extLst>
        </xdr:cNvPr>
        <xdr:cNvSpPr/>
      </xdr:nvSpPr>
      <xdr:spPr>
        <a:xfrm>
          <a:off x="2199174" y="139212"/>
          <a:ext cx="1065336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AF7FD6A-326D-4FD2-93D5-C10684C050A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1-Mar-2026</a:t>
          </a:fld>
          <a:endParaRPr lang="en-US" sz="1100"/>
        </a:p>
      </xdr:txBody>
    </xdr:sp>
    <xdr:clientData/>
  </xdr:twoCellAnchor>
  <xdr:twoCellAnchor>
    <xdr:from>
      <xdr:col>5</xdr:col>
      <xdr:colOff>328246</xdr:colOff>
      <xdr:row>0</xdr:row>
      <xdr:rowOff>149653</xdr:rowOff>
    </xdr:from>
    <xdr:to>
      <xdr:col>6</xdr:col>
      <xdr:colOff>451890</xdr:colOff>
      <xdr:row>1</xdr:row>
      <xdr:rowOff>161559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31D375F-69F0-4C2F-B37D-14AB587C9FD9}"/>
            </a:ext>
          </a:extLst>
        </xdr:cNvPr>
        <xdr:cNvSpPr/>
      </xdr:nvSpPr>
      <xdr:spPr>
        <a:xfrm>
          <a:off x="3376246" y="149653"/>
          <a:ext cx="676094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To</a:t>
          </a:r>
        </a:p>
      </xdr:txBody>
    </xdr:sp>
    <xdr:clientData/>
  </xdr:twoCellAnchor>
  <xdr:twoCellAnchor>
    <xdr:from>
      <xdr:col>6</xdr:col>
      <xdr:colOff>456832</xdr:colOff>
      <xdr:row>0</xdr:row>
      <xdr:rowOff>147272</xdr:rowOff>
    </xdr:from>
    <xdr:to>
      <xdr:col>7</xdr:col>
      <xdr:colOff>537429</xdr:colOff>
      <xdr:row>1</xdr:row>
      <xdr:rowOff>159178</xdr:rowOff>
    </xdr:to>
    <xdr:sp macro="" textlink="$K$4">
      <xdr:nvSpPr>
        <xdr:cNvPr id="20" name="Rectangle 19">
          <a:extLst>
            <a:ext uri="{FF2B5EF4-FFF2-40B4-BE49-F238E27FC236}">
              <a16:creationId xmlns:a16="http://schemas.microsoft.com/office/drawing/2014/main" id="{C6E0447A-19FC-4E1B-9EDF-CEA15BA989A3}"/>
            </a:ext>
          </a:extLst>
        </xdr:cNvPr>
        <xdr:cNvSpPr/>
      </xdr:nvSpPr>
      <xdr:spPr>
        <a:xfrm>
          <a:off x="4057282" y="147272"/>
          <a:ext cx="1061672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F40C6E-C0CB-4AF1-BD78-7DC7EA8C2F5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31-Mar-2026</a:t>
          </a:fld>
          <a:endParaRPr lang="en-US" sz="1100"/>
        </a:p>
      </xdr:txBody>
    </xdr:sp>
    <xdr:clientData/>
  </xdr:twoCellAnchor>
  <xdr:twoCellAnchor>
    <xdr:from>
      <xdr:col>7</xdr:col>
      <xdr:colOff>1128346</xdr:colOff>
      <xdr:row>0</xdr:row>
      <xdr:rowOff>109904</xdr:rowOff>
    </xdr:from>
    <xdr:to>
      <xdr:col>15</xdr:col>
      <xdr:colOff>314325</xdr:colOff>
      <xdr:row>2</xdr:row>
      <xdr:rowOff>14654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9D02858F-1E16-4396-B7F6-AA0039233057}"/>
            </a:ext>
          </a:extLst>
        </xdr:cNvPr>
        <xdr:cNvSpPr/>
      </xdr:nvSpPr>
      <xdr:spPr>
        <a:xfrm>
          <a:off x="5709871" y="109904"/>
          <a:ext cx="4100879" cy="2857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1348884</xdr:colOff>
      <xdr:row>0</xdr:row>
      <xdr:rowOff>131886</xdr:rowOff>
    </xdr:from>
    <xdr:to>
      <xdr:col>12</xdr:col>
      <xdr:colOff>123825</xdr:colOff>
      <xdr:row>2</xdr:row>
      <xdr:rowOff>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5EF46BF1-A787-4188-ABEE-F50375331D8F}"/>
            </a:ext>
          </a:extLst>
        </xdr:cNvPr>
        <xdr:cNvSpPr/>
      </xdr:nvSpPr>
      <xdr:spPr>
        <a:xfrm>
          <a:off x="5930409" y="131886"/>
          <a:ext cx="2413491" cy="2491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0">
              <a:solidFill>
                <a:sysClr val="windowText" lastClr="000000"/>
              </a:solidFill>
              <a:latin typeface="Bahnschrift SemiBold Condensed" panose="020B0502040204020203" pitchFamily="34" charset="0"/>
            </a:rPr>
            <a:t>Dashboard For the Month of</a:t>
          </a:r>
        </a:p>
      </xdr:txBody>
    </xdr:sp>
    <xdr:clientData/>
  </xdr:twoCellAnchor>
  <xdr:twoCellAnchor>
    <xdr:from>
      <xdr:col>10</xdr:col>
      <xdr:colOff>419099</xdr:colOff>
      <xdr:row>0</xdr:row>
      <xdr:rowOff>129021</xdr:rowOff>
    </xdr:from>
    <xdr:to>
      <xdr:col>14</xdr:col>
      <xdr:colOff>361949</xdr:colOff>
      <xdr:row>2</xdr:row>
      <xdr:rowOff>10391</xdr:rowOff>
    </xdr:to>
    <xdr:sp macro="" textlink="$I$4">
      <xdr:nvSpPr>
        <xdr:cNvPr id="23" name="Rectangle 22">
          <a:extLst>
            <a:ext uri="{FF2B5EF4-FFF2-40B4-BE49-F238E27FC236}">
              <a16:creationId xmlns:a16="http://schemas.microsoft.com/office/drawing/2014/main" id="{C83E1234-6706-4FB6-887E-A1D3CE1A5C48}"/>
            </a:ext>
          </a:extLst>
        </xdr:cNvPr>
        <xdr:cNvSpPr/>
      </xdr:nvSpPr>
      <xdr:spPr>
        <a:xfrm>
          <a:off x="7820024" y="129021"/>
          <a:ext cx="1628775" cy="2623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BB569BB-9BB2-4291-BB2C-506B0E15CC47}" type="TxLink">
            <a:rPr lang="en-US" sz="1800" b="1" i="0" u="none" strike="noStrike">
              <a:solidFill>
                <a:srgbClr val="7030A0"/>
              </a:solidFill>
              <a:latin typeface="Bell MT" panose="02020503060305020303" pitchFamily="18" charset="0"/>
              <a:ea typeface="Calibri"/>
              <a:cs typeface="Calibri"/>
            </a:rPr>
            <a:pPr algn="ctr"/>
            <a:t>March</a:t>
          </a:fld>
          <a:endParaRPr lang="en-US" sz="1800" b="1">
            <a:solidFill>
              <a:srgbClr val="7030A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29</xdr:col>
      <xdr:colOff>142854</xdr:colOff>
      <xdr:row>0</xdr:row>
      <xdr:rowOff>83343</xdr:rowOff>
    </xdr:from>
    <xdr:to>
      <xdr:col>30</xdr:col>
      <xdr:colOff>71417</xdr:colOff>
      <xdr:row>2</xdr:row>
      <xdr:rowOff>23812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23C096F-4FA4-41F3-837D-F92E7B191C72}"/>
            </a:ext>
          </a:extLst>
        </xdr:cNvPr>
        <xdr:cNvSpPr/>
      </xdr:nvSpPr>
      <xdr:spPr>
        <a:xfrm>
          <a:off x="15335229" y="83343"/>
          <a:ext cx="385763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</a:t>
          </a:r>
        </a:p>
      </xdr:txBody>
    </xdr:sp>
    <xdr:clientData/>
  </xdr:twoCellAnchor>
  <xdr:twoCellAnchor>
    <xdr:from>
      <xdr:col>30</xdr:col>
      <xdr:colOff>47605</xdr:colOff>
      <xdr:row>0</xdr:row>
      <xdr:rowOff>95250</xdr:rowOff>
    </xdr:from>
    <xdr:to>
      <xdr:col>32</xdr:col>
      <xdr:colOff>226198</xdr:colOff>
      <xdr:row>2</xdr:row>
      <xdr:rowOff>11906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0AFD8A5-81A9-420B-8972-C7FC22B4244C}"/>
            </a:ext>
          </a:extLst>
        </xdr:cNvPr>
        <xdr:cNvSpPr/>
      </xdr:nvSpPr>
      <xdr:spPr>
        <a:xfrm>
          <a:off x="15697180" y="95250"/>
          <a:ext cx="902493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PRESENT</a:t>
          </a:r>
        </a:p>
      </xdr:txBody>
    </xdr:sp>
    <xdr:clientData/>
  </xdr:twoCellAnchor>
  <xdr:twoCellAnchor>
    <xdr:from>
      <xdr:col>32</xdr:col>
      <xdr:colOff>390507</xdr:colOff>
      <xdr:row>0</xdr:row>
      <xdr:rowOff>80963</xdr:rowOff>
    </xdr:from>
    <xdr:to>
      <xdr:col>33</xdr:col>
      <xdr:colOff>378600</xdr:colOff>
      <xdr:row>2</xdr:row>
      <xdr:rowOff>21432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D1D3AA8-3DB3-4C61-BA04-78EC13328883}"/>
            </a:ext>
          </a:extLst>
        </xdr:cNvPr>
        <xdr:cNvSpPr/>
      </xdr:nvSpPr>
      <xdr:spPr>
        <a:xfrm>
          <a:off x="16763982" y="80963"/>
          <a:ext cx="378618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🔴</a:t>
          </a:r>
        </a:p>
      </xdr:txBody>
    </xdr:sp>
    <xdr:clientData/>
  </xdr:twoCellAnchor>
  <xdr:twoCellAnchor>
    <xdr:from>
      <xdr:col>33</xdr:col>
      <xdr:colOff>354788</xdr:colOff>
      <xdr:row>0</xdr:row>
      <xdr:rowOff>92870</xdr:rowOff>
    </xdr:from>
    <xdr:to>
      <xdr:col>35</xdr:col>
      <xdr:colOff>378600</xdr:colOff>
      <xdr:row>2</xdr:row>
      <xdr:rowOff>9526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3565525-DAFD-443A-A13D-74AB1C654220}"/>
            </a:ext>
          </a:extLst>
        </xdr:cNvPr>
        <xdr:cNvSpPr/>
      </xdr:nvSpPr>
      <xdr:spPr>
        <a:xfrm>
          <a:off x="17118788" y="92870"/>
          <a:ext cx="890587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ABSENT</a:t>
          </a:r>
        </a:p>
      </xdr:txBody>
    </xdr:sp>
    <xdr:clientData/>
  </xdr:twoCellAnchor>
  <xdr:twoCellAnchor>
    <xdr:from>
      <xdr:col>36</xdr:col>
      <xdr:colOff>66656</xdr:colOff>
      <xdr:row>0</xdr:row>
      <xdr:rowOff>78581</xdr:rowOff>
    </xdr:from>
    <xdr:to>
      <xdr:col>36</xdr:col>
      <xdr:colOff>447656</xdr:colOff>
      <xdr:row>2</xdr:row>
      <xdr:rowOff>19050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A80B2F8-D041-4DDE-8BD8-F13F455D55FA}"/>
            </a:ext>
          </a:extLst>
        </xdr:cNvPr>
        <xdr:cNvSpPr/>
      </xdr:nvSpPr>
      <xdr:spPr>
        <a:xfrm>
          <a:off x="18107006" y="78581"/>
          <a:ext cx="381000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36</xdr:col>
      <xdr:colOff>423844</xdr:colOff>
      <xdr:row>0</xdr:row>
      <xdr:rowOff>90488</xdr:rowOff>
    </xdr:from>
    <xdr:to>
      <xdr:col>39</xdr:col>
      <xdr:colOff>149999</xdr:colOff>
      <xdr:row>2</xdr:row>
      <xdr:rowOff>7144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A8C0863F-B301-44F4-8A60-4F3D7F322CCB}"/>
            </a:ext>
          </a:extLst>
        </xdr:cNvPr>
        <xdr:cNvSpPr/>
      </xdr:nvSpPr>
      <xdr:spPr>
        <a:xfrm>
          <a:off x="18464194" y="90488"/>
          <a:ext cx="897730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LEAVE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272143</xdr:colOff>
      <xdr:row>0</xdr:row>
      <xdr:rowOff>4948</xdr:rowOff>
    </xdr:from>
    <xdr:to>
      <xdr:col>40</xdr:col>
      <xdr:colOff>13607</xdr:colOff>
      <xdr:row>2</xdr:row>
      <xdr:rowOff>72984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5570A911-38E3-4F9F-AF52-50BC78F928A7}"/>
            </a:ext>
          </a:extLst>
        </xdr:cNvPr>
        <xdr:cNvSpPr/>
      </xdr:nvSpPr>
      <xdr:spPr>
        <a:xfrm>
          <a:off x="1491343" y="4948"/>
          <a:ext cx="18115189" cy="449036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2</xdr:rowOff>
    </xdr:from>
    <xdr:to>
      <xdr:col>2</xdr:col>
      <xdr:colOff>304799</xdr:colOff>
      <xdr:row>36</xdr:row>
      <xdr:rowOff>27214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178293D8-E37A-4C76-BDAA-F289B1D3BDCF}"/>
            </a:ext>
          </a:extLst>
        </xdr:cNvPr>
        <xdr:cNvSpPr/>
      </xdr:nvSpPr>
      <xdr:spPr>
        <a:xfrm>
          <a:off x="0" y="2"/>
          <a:ext cx="1523999" cy="691378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59872</xdr:rowOff>
    </xdr:from>
    <xdr:to>
      <xdr:col>2</xdr:col>
      <xdr:colOff>583746</xdr:colOff>
      <xdr:row>7</xdr:row>
      <xdr:rowOff>57150</xdr:rowOff>
    </xdr:to>
    <xdr:sp macro="" textlink="">
      <xdr:nvSpPr>
        <xdr:cNvPr id="60" name="Rectangle: Diagonal Corners Rounded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69BAF1-BFD7-4CA3-9823-943464BEA32C}"/>
            </a:ext>
          </a:extLst>
        </xdr:cNvPr>
        <xdr:cNvSpPr/>
      </xdr:nvSpPr>
      <xdr:spPr>
        <a:xfrm>
          <a:off x="0" y="1021897"/>
          <a:ext cx="1802946" cy="387803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7</xdr:row>
      <xdr:rowOff>185057</xdr:rowOff>
    </xdr:from>
    <xdr:to>
      <xdr:col>2</xdr:col>
      <xdr:colOff>583746</xdr:colOff>
      <xdr:row>9</xdr:row>
      <xdr:rowOff>182335</xdr:rowOff>
    </xdr:to>
    <xdr:sp macro="" textlink="">
      <xdr:nvSpPr>
        <xdr:cNvPr id="61" name="Rectangle: Diagonal Corners Rounded 6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315786-2D0C-4180-BB23-E57FFC92D950}"/>
            </a:ext>
          </a:extLst>
        </xdr:cNvPr>
        <xdr:cNvSpPr/>
      </xdr:nvSpPr>
      <xdr:spPr>
        <a:xfrm>
          <a:off x="0" y="1537607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MARCH</a:t>
          </a:r>
          <a:endParaRPr lang="en-US" sz="1100"/>
        </a:p>
      </xdr:txBody>
    </xdr:sp>
    <xdr:clientData/>
  </xdr:twoCellAnchor>
  <xdr:twoCellAnchor>
    <xdr:from>
      <xdr:col>1</xdr:col>
      <xdr:colOff>137584</xdr:colOff>
      <xdr:row>10</xdr:row>
      <xdr:rowOff>103113</xdr:rowOff>
    </xdr:from>
    <xdr:to>
      <xdr:col>4</xdr:col>
      <xdr:colOff>107497</xdr:colOff>
      <xdr:row>12</xdr:row>
      <xdr:rowOff>100391</xdr:rowOff>
    </xdr:to>
    <xdr:sp macro="" textlink="">
      <xdr:nvSpPr>
        <xdr:cNvPr id="62" name="Rectangle: Diagonal Corners Rounded 6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42A30E-8ACB-42B0-B959-33578331E1D9}"/>
            </a:ext>
          </a:extLst>
        </xdr:cNvPr>
        <xdr:cNvSpPr/>
      </xdr:nvSpPr>
      <xdr:spPr>
        <a:xfrm>
          <a:off x="751417" y="2029280"/>
          <a:ext cx="1811413" cy="378278"/>
        </a:xfrm>
        <a:prstGeom prst="round2Diag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noProof="0">
              <a:solidFill>
                <a:sysClr val="windowText" lastClr="000000"/>
              </a:solidFill>
              <a:latin typeface="Georgia" panose="02040502050405020303" pitchFamily="18" charset="0"/>
              <a:ea typeface="+mn-ea"/>
              <a:cs typeface="+mn-cs"/>
            </a:rPr>
            <a:t>APRIL</a:t>
          </a:r>
          <a:endParaRPr lang="en-US" sz="1100" b="1">
            <a:solidFill>
              <a:sysClr val="windowText" lastClr="000000"/>
            </a:solidFill>
            <a:latin typeface="Georgia" panose="020405020504050203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</xdr:colOff>
      <xdr:row>13</xdr:row>
      <xdr:rowOff>40822</xdr:rowOff>
    </xdr:from>
    <xdr:to>
      <xdr:col>2</xdr:col>
      <xdr:colOff>586467</xdr:colOff>
      <xdr:row>15</xdr:row>
      <xdr:rowOff>38100</xdr:rowOff>
    </xdr:to>
    <xdr:sp macro="" textlink="">
      <xdr:nvSpPr>
        <xdr:cNvPr id="63" name="Rectangle: Diagonal Corners Rounded 6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38400EA-FF9B-4298-BCC4-AECC725CD195}"/>
            </a:ext>
          </a:extLst>
        </xdr:cNvPr>
        <xdr:cNvSpPr/>
      </xdr:nvSpPr>
      <xdr:spPr>
        <a:xfrm>
          <a:off x="2721" y="2536372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16</xdr:row>
      <xdr:rowOff>2721</xdr:rowOff>
    </xdr:from>
    <xdr:to>
      <xdr:col>2</xdr:col>
      <xdr:colOff>583746</xdr:colOff>
      <xdr:row>17</xdr:row>
      <xdr:rowOff>190499</xdr:rowOff>
    </xdr:to>
    <xdr:sp macro="" textlink="">
      <xdr:nvSpPr>
        <xdr:cNvPr id="64" name="Rectangle: Diagonal Corners Rounded 6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67DB9C4-419D-4884-9542-70257EA4C856}"/>
            </a:ext>
          </a:extLst>
        </xdr:cNvPr>
        <xdr:cNvSpPr/>
      </xdr:nvSpPr>
      <xdr:spPr>
        <a:xfrm>
          <a:off x="0" y="306977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18</xdr:row>
      <xdr:rowOff>168729</xdr:rowOff>
    </xdr:from>
    <xdr:to>
      <xdr:col>2</xdr:col>
      <xdr:colOff>583746</xdr:colOff>
      <xdr:row>20</xdr:row>
      <xdr:rowOff>166007</xdr:rowOff>
    </xdr:to>
    <xdr:sp macro="" textlink="">
      <xdr:nvSpPr>
        <xdr:cNvPr id="65" name="Rectangle: Diagonal Corners Rounded 6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45FCB51-0AAA-4E9F-9CB0-84CA8E98E427}"/>
            </a:ext>
          </a:extLst>
        </xdr:cNvPr>
        <xdr:cNvSpPr/>
      </xdr:nvSpPr>
      <xdr:spPr>
        <a:xfrm>
          <a:off x="0" y="36167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21</xdr:row>
      <xdr:rowOff>125186</xdr:rowOff>
    </xdr:from>
    <xdr:to>
      <xdr:col>2</xdr:col>
      <xdr:colOff>583746</xdr:colOff>
      <xdr:row>23</xdr:row>
      <xdr:rowOff>122464</xdr:rowOff>
    </xdr:to>
    <xdr:sp macro="" textlink="">
      <xdr:nvSpPr>
        <xdr:cNvPr id="66" name="Rectangle: Diagonal Corners Rounded 6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F2B7536-992B-40A9-81CB-52CDD406F8EE}"/>
            </a:ext>
          </a:extLst>
        </xdr:cNvPr>
        <xdr:cNvSpPr/>
      </xdr:nvSpPr>
      <xdr:spPr>
        <a:xfrm>
          <a:off x="0" y="4144736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24</xdr:row>
      <xdr:rowOff>73480</xdr:rowOff>
    </xdr:from>
    <xdr:to>
      <xdr:col>2</xdr:col>
      <xdr:colOff>583746</xdr:colOff>
      <xdr:row>26</xdr:row>
      <xdr:rowOff>70758</xdr:rowOff>
    </xdr:to>
    <xdr:sp macro="" textlink="">
      <xdr:nvSpPr>
        <xdr:cNvPr id="67" name="Rectangle: Diagonal Corners Rounded 6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EC9DE7B-CE9F-4183-A1FB-2331784AAFCA}"/>
            </a:ext>
          </a:extLst>
        </xdr:cNvPr>
        <xdr:cNvSpPr/>
      </xdr:nvSpPr>
      <xdr:spPr>
        <a:xfrm>
          <a:off x="0" y="467405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SEPTEMBER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27</xdr:row>
      <xdr:rowOff>8166</xdr:rowOff>
    </xdr:from>
    <xdr:to>
      <xdr:col>2</xdr:col>
      <xdr:colOff>583746</xdr:colOff>
      <xdr:row>29</xdr:row>
      <xdr:rowOff>5444</xdr:rowOff>
    </xdr:to>
    <xdr:sp macro="" textlink="">
      <xdr:nvSpPr>
        <xdr:cNvPr id="68" name="Rectangle: Diagonal Corners Rounded 6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7379D3D-DD79-4FD7-BEA5-0A68F83D379E}"/>
            </a:ext>
          </a:extLst>
        </xdr:cNvPr>
        <xdr:cNvSpPr/>
      </xdr:nvSpPr>
      <xdr:spPr>
        <a:xfrm>
          <a:off x="0" y="518024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29</xdr:row>
      <xdr:rowOff>160564</xdr:rowOff>
    </xdr:from>
    <xdr:to>
      <xdr:col>2</xdr:col>
      <xdr:colOff>583746</xdr:colOff>
      <xdr:row>31</xdr:row>
      <xdr:rowOff>157842</xdr:rowOff>
    </xdr:to>
    <xdr:sp macro="" textlink="">
      <xdr:nvSpPr>
        <xdr:cNvPr id="69" name="Rectangle: Diagonal Corners Rounded 6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0A06A91-56F1-4010-81BF-A22EDBAD1334}"/>
            </a:ext>
          </a:extLst>
        </xdr:cNvPr>
        <xdr:cNvSpPr/>
      </xdr:nvSpPr>
      <xdr:spPr>
        <a:xfrm>
          <a:off x="0" y="571363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32</xdr:row>
      <xdr:rowOff>95250</xdr:rowOff>
    </xdr:from>
    <xdr:to>
      <xdr:col>2</xdr:col>
      <xdr:colOff>583746</xdr:colOff>
      <xdr:row>34</xdr:row>
      <xdr:rowOff>92528</xdr:rowOff>
    </xdr:to>
    <xdr:sp macro="" textlink="">
      <xdr:nvSpPr>
        <xdr:cNvPr id="70" name="Rectangle: Diagonal Corners Rounded 6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DC78FC3-8FD9-48B0-89C0-766B322D1685}"/>
            </a:ext>
          </a:extLst>
        </xdr:cNvPr>
        <xdr:cNvSpPr/>
      </xdr:nvSpPr>
      <xdr:spPr>
        <a:xfrm>
          <a:off x="0" y="621982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DECEMBER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</xdr:row>
      <xdr:rowOff>141818</xdr:rowOff>
    </xdr:from>
    <xdr:to>
      <xdr:col>2</xdr:col>
      <xdr:colOff>585257</xdr:colOff>
      <xdr:row>4</xdr:row>
      <xdr:rowOff>139096</xdr:rowOff>
    </xdr:to>
    <xdr:sp macro="" textlink="">
      <xdr:nvSpPr>
        <xdr:cNvPr id="71" name="Rectangle: Diagonal Corners Rounded 7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7961D1A-8D53-45AB-AC56-B0478DFD18E8}"/>
            </a:ext>
          </a:extLst>
        </xdr:cNvPr>
        <xdr:cNvSpPr/>
      </xdr:nvSpPr>
      <xdr:spPr>
        <a:xfrm>
          <a:off x="0" y="522818"/>
          <a:ext cx="1812924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0" lang="en-US" sz="11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43</xdr:col>
      <xdr:colOff>591912</xdr:colOff>
      <xdr:row>0</xdr:row>
      <xdr:rowOff>0</xdr:rowOff>
    </xdr:from>
    <xdr:to>
      <xdr:col>58</xdr:col>
      <xdr:colOff>23813</xdr:colOff>
      <xdr:row>2</xdr:row>
      <xdr:rowOff>68036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F5CFBA93-D820-48F4-B9A0-FFCE6A5CC995}"/>
            </a:ext>
          </a:extLst>
        </xdr:cNvPr>
        <xdr:cNvSpPr/>
      </xdr:nvSpPr>
      <xdr:spPr>
        <a:xfrm>
          <a:off x="22013637" y="0"/>
          <a:ext cx="11823926" cy="44903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chemeClr val="tx1"/>
              </a:solidFill>
              <a:latin typeface="Bell MT" panose="02020503060305020303" pitchFamily="18" charset="0"/>
            </a:rPr>
            <a:t>Monthly Reports</a:t>
          </a:r>
        </a:p>
      </xdr:txBody>
    </xdr:sp>
    <xdr:clientData/>
  </xdr:twoCellAnchor>
  <xdr:twoCellAnchor>
    <xdr:from>
      <xdr:col>2</xdr:col>
      <xdr:colOff>300404</xdr:colOff>
      <xdr:row>0</xdr:row>
      <xdr:rowOff>143791</xdr:rowOff>
    </xdr:from>
    <xdr:to>
      <xdr:col>3</xdr:col>
      <xdr:colOff>365432</xdr:colOff>
      <xdr:row>1</xdr:row>
      <xdr:rowOff>155697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F45C40F-1235-4127-B562-BC8CB19D1BE5}"/>
            </a:ext>
          </a:extLst>
        </xdr:cNvPr>
        <xdr:cNvSpPr/>
      </xdr:nvSpPr>
      <xdr:spPr>
        <a:xfrm>
          <a:off x="1519604" y="143791"/>
          <a:ext cx="674628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From</a:t>
          </a:r>
        </a:p>
      </xdr:txBody>
    </xdr:sp>
    <xdr:clientData/>
  </xdr:twoCellAnchor>
  <xdr:twoCellAnchor>
    <xdr:from>
      <xdr:col>3</xdr:col>
      <xdr:colOff>370374</xdr:colOff>
      <xdr:row>0</xdr:row>
      <xdr:rowOff>139212</xdr:rowOff>
    </xdr:from>
    <xdr:to>
      <xdr:col>5</xdr:col>
      <xdr:colOff>216510</xdr:colOff>
      <xdr:row>1</xdr:row>
      <xdr:rowOff>151118</xdr:rowOff>
    </xdr:to>
    <xdr:sp macro="" textlink="$G$4">
      <xdr:nvSpPr>
        <xdr:cNvPr id="74" name="Rectangle 73">
          <a:extLst>
            <a:ext uri="{FF2B5EF4-FFF2-40B4-BE49-F238E27FC236}">
              <a16:creationId xmlns:a16="http://schemas.microsoft.com/office/drawing/2014/main" id="{EAB40118-7A98-40F9-8F72-E38C6B0CD6E6}"/>
            </a:ext>
          </a:extLst>
        </xdr:cNvPr>
        <xdr:cNvSpPr/>
      </xdr:nvSpPr>
      <xdr:spPr>
        <a:xfrm>
          <a:off x="2199174" y="139212"/>
          <a:ext cx="1065336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AF7FD6A-326D-4FD2-93D5-C10684C050A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1-Apr-2026</a:t>
          </a:fld>
          <a:endParaRPr lang="en-US" sz="1100"/>
        </a:p>
      </xdr:txBody>
    </xdr:sp>
    <xdr:clientData/>
  </xdr:twoCellAnchor>
  <xdr:twoCellAnchor>
    <xdr:from>
      <xdr:col>5</xdr:col>
      <xdr:colOff>328246</xdr:colOff>
      <xdr:row>0</xdr:row>
      <xdr:rowOff>149653</xdr:rowOff>
    </xdr:from>
    <xdr:to>
      <xdr:col>6</xdr:col>
      <xdr:colOff>451890</xdr:colOff>
      <xdr:row>1</xdr:row>
      <xdr:rowOff>161559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64C7AA1A-AB63-4B2E-BF9E-F16AAAD1ACF0}"/>
            </a:ext>
          </a:extLst>
        </xdr:cNvPr>
        <xdr:cNvSpPr/>
      </xdr:nvSpPr>
      <xdr:spPr>
        <a:xfrm>
          <a:off x="3376246" y="149653"/>
          <a:ext cx="676094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To</a:t>
          </a:r>
        </a:p>
      </xdr:txBody>
    </xdr:sp>
    <xdr:clientData/>
  </xdr:twoCellAnchor>
  <xdr:twoCellAnchor>
    <xdr:from>
      <xdr:col>6</xdr:col>
      <xdr:colOff>456832</xdr:colOff>
      <xdr:row>0</xdr:row>
      <xdr:rowOff>147272</xdr:rowOff>
    </xdr:from>
    <xdr:to>
      <xdr:col>7</xdr:col>
      <xdr:colOff>537429</xdr:colOff>
      <xdr:row>1</xdr:row>
      <xdr:rowOff>159178</xdr:rowOff>
    </xdr:to>
    <xdr:sp macro="" textlink="$K$4">
      <xdr:nvSpPr>
        <xdr:cNvPr id="76" name="Rectangle 75">
          <a:extLst>
            <a:ext uri="{FF2B5EF4-FFF2-40B4-BE49-F238E27FC236}">
              <a16:creationId xmlns:a16="http://schemas.microsoft.com/office/drawing/2014/main" id="{1A9BA410-5990-4E88-916F-79317377F961}"/>
            </a:ext>
          </a:extLst>
        </xdr:cNvPr>
        <xdr:cNvSpPr/>
      </xdr:nvSpPr>
      <xdr:spPr>
        <a:xfrm>
          <a:off x="4057282" y="147272"/>
          <a:ext cx="1061672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F40C6E-C0CB-4AF1-BD78-7DC7EA8C2F5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30-Apr-2026</a:t>
          </a:fld>
          <a:endParaRPr lang="en-US" sz="1100"/>
        </a:p>
      </xdr:txBody>
    </xdr:sp>
    <xdr:clientData/>
  </xdr:twoCellAnchor>
  <xdr:twoCellAnchor>
    <xdr:from>
      <xdr:col>7</xdr:col>
      <xdr:colOff>1128346</xdr:colOff>
      <xdr:row>0</xdr:row>
      <xdr:rowOff>109904</xdr:rowOff>
    </xdr:from>
    <xdr:to>
      <xdr:col>15</xdr:col>
      <xdr:colOff>314325</xdr:colOff>
      <xdr:row>2</xdr:row>
      <xdr:rowOff>14654</xdr:rowOff>
    </xdr:to>
    <xdr:sp macro="" textlink="">
      <xdr:nvSpPr>
        <xdr:cNvPr id="77" name="Rectangle: Rounded Corners 76">
          <a:extLst>
            <a:ext uri="{FF2B5EF4-FFF2-40B4-BE49-F238E27FC236}">
              <a16:creationId xmlns:a16="http://schemas.microsoft.com/office/drawing/2014/main" id="{2E0D6C69-D54E-4DF6-A348-BE7C067C780E}"/>
            </a:ext>
          </a:extLst>
        </xdr:cNvPr>
        <xdr:cNvSpPr/>
      </xdr:nvSpPr>
      <xdr:spPr>
        <a:xfrm>
          <a:off x="5709871" y="109904"/>
          <a:ext cx="4100879" cy="2857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1348884</xdr:colOff>
      <xdr:row>0</xdr:row>
      <xdr:rowOff>131886</xdr:rowOff>
    </xdr:from>
    <xdr:to>
      <xdr:col>12</xdr:col>
      <xdr:colOff>123825</xdr:colOff>
      <xdr:row>2</xdr:row>
      <xdr:rowOff>0</xdr:rowOff>
    </xdr:to>
    <xdr:sp macro="" textlink="">
      <xdr:nvSpPr>
        <xdr:cNvPr id="78" name="Rectangle: Rounded Corners 77">
          <a:extLst>
            <a:ext uri="{FF2B5EF4-FFF2-40B4-BE49-F238E27FC236}">
              <a16:creationId xmlns:a16="http://schemas.microsoft.com/office/drawing/2014/main" id="{B03685E3-2C7A-42E3-9DFC-C7DAB3BA0639}"/>
            </a:ext>
          </a:extLst>
        </xdr:cNvPr>
        <xdr:cNvSpPr/>
      </xdr:nvSpPr>
      <xdr:spPr>
        <a:xfrm>
          <a:off x="5930409" y="131886"/>
          <a:ext cx="2413491" cy="2491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0">
              <a:solidFill>
                <a:sysClr val="windowText" lastClr="000000"/>
              </a:solidFill>
              <a:latin typeface="Bahnschrift SemiBold Condensed" panose="020B0502040204020203" pitchFamily="34" charset="0"/>
            </a:rPr>
            <a:t>Dashboard For the Month of</a:t>
          </a:r>
        </a:p>
      </xdr:txBody>
    </xdr:sp>
    <xdr:clientData/>
  </xdr:twoCellAnchor>
  <xdr:twoCellAnchor>
    <xdr:from>
      <xdr:col>11</xdr:col>
      <xdr:colOff>219074</xdr:colOff>
      <xdr:row>0</xdr:row>
      <xdr:rowOff>109971</xdr:rowOff>
    </xdr:from>
    <xdr:to>
      <xdr:col>15</xdr:col>
      <xdr:colOff>180974</xdr:colOff>
      <xdr:row>1</xdr:row>
      <xdr:rowOff>181841</xdr:rowOff>
    </xdr:to>
    <xdr:sp macro="" textlink="$I$4">
      <xdr:nvSpPr>
        <xdr:cNvPr id="79" name="Rectangle 78">
          <a:extLst>
            <a:ext uri="{FF2B5EF4-FFF2-40B4-BE49-F238E27FC236}">
              <a16:creationId xmlns:a16="http://schemas.microsoft.com/office/drawing/2014/main" id="{AD75799F-C594-4AF0-9040-831CF0D0F712}"/>
            </a:ext>
          </a:extLst>
        </xdr:cNvPr>
        <xdr:cNvSpPr/>
      </xdr:nvSpPr>
      <xdr:spPr>
        <a:xfrm>
          <a:off x="8048624" y="109971"/>
          <a:ext cx="1628775" cy="2623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BB569BB-9BB2-4291-BB2C-506B0E15CC47}" type="TxLink">
            <a:rPr lang="en-US" sz="1800" b="1" i="0" u="none" strike="noStrike">
              <a:solidFill>
                <a:srgbClr val="7030A0"/>
              </a:solidFill>
              <a:latin typeface="Bell MT" panose="02020503060305020303" pitchFamily="18" charset="0"/>
              <a:ea typeface="Calibri"/>
              <a:cs typeface="Calibri"/>
            </a:rPr>
            <a:pPr algn="ctr"/>
            <a:t>April</a:t>
          </a:fld>
          <a:endParaRPr lang="en-US" sz="1800" b="1">
            <a:solidFill>
              <a:srgbClr val="7030A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29</xdr:col>
      <xdr:colOff>142854</xdr:colOff>
      <xdr:row>0</xdr:row>
      <xdr:rowOff>83343</xdr:rowOff>
    </xdr:from>
    <xdr:to>
      <xdr:col>30</xdr:col>
      <xdr:colOff>71417</xdr:colOff>
      <xdr:row>2</xdr:row>
      <xdr:rowOff>23812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620E8EEC-58B8-4DE4-AA37-E665F1B74A5F}"/>
            </a:ext>
          </a:extLst>
        </xdr:cNvPr>
        <xdr:cNvSpPr/>
      </xdr:nvSpPr>
      <xdr:spPr>
        <a:xfrm>
          <a:off x="15335229" y="83343"/>
          <a:ext cx="385763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</a:t>
          </a:r>
        </a:p>
      </xdr:txBody>
    </xdr:sp>
    <xdr:clientData/>
  </xdr:twoCellAnchor>
  <xdr:twoCellAnchor>
    <xdr:from>
      <xdr:col>30</xdr:col>
      <xdr:colOff>47605</xdr:colOff>
      <xdr:row>0</xdr:row>
      <xdr:rowOff>95250</xdr:rowOff>
    </xdr:from>
    <xdr:to>
      <xdr:col>32</xdr:col>
      <xdr:colOff>226198</xdr:colOff>
      <xdr:row>2</xdr:row>
      <xdr:rowOff>11906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3354A45A-0A43-4B11-8D33-2E7A59902D27}"/>
            </a:ext>
          </a:extLst>
        </xdr:cNvPr>
        <xdr:cNvSpPr/>
      </xdr:nvSpPr>
      <xdr:spPr>
        <a:xfrm>
          <a:off x="15697180" y="95250"/>
          <a:ext cx="902493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PRESENT</a:t>
          </a:r>
        </a:p>
      </xdr:txBody>
    </xdr:sp>
    <xdr:clientData/>
  </xdr:twoCellAnchor>
  <xdr:twoCellAnchor>
    <xdr:from>
      <xdr:col>32</xdr:col>
      <xdr:colOff>390507</xdr:colOff>
      <xdr:row>0</xdr:row>
      <xdr:rowOff>80963</xdr:rowOff>
    </xdr:from>
    <xdr:to>
      <xdr:col>33</xdr:col>
      <xdr:colOff>378600</xdr:colOff>
      <xdr:row>2</xdr:row>
      <xdr:rowOff>21432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7A5ED0E0-8FBB-4A74-B819-F87C3E1B323C}"/>
            </a:ext>
          </a:extLst>
        </xdr:cNvPr>
        <xdr:cNvSpPr/>
      </xdr:nvSpPr>
      <xdr:spPr>
        <a:xfrm>
          <a:off x="16763982" y="80963"/>
          <a:ext cx="378618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🔴</a:t>
          </a:r>
        </a:p>
      </xdr:txBody>
    </xdr:sp>
    <xdr:clientData/>
  </xdr:twoCellAnchor>
  <xdr:twoCellAnchor>
    <xdr:from>
      <xdr:col>33</xdr:col>
      <xdr:colOff>354788</xdr:colOff>
      <xdr:row>0</xdr:row>
      <xdr:rowOff>92870</xdr:rowOff>
    </xdr:from>
    <xdr:to>
      <xdr:col>35</xdr:col>
      <xdr:colOff>378600</xdr:colOff>
      <xdr:row>2</xdr:row>
      <xdr:rowOff>9526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687377-1F38-4CB3-B8DE-58080BFA84D1}"/>
            </a:ext>
          </a:extLst>
        </xdr:cNvPr>
        <xdr:cNvSpPr/>
      </xdr:nvSpPr>
      <xdr:spPr>
        <a:xfrm>
          <a:off x="17118788" y="92870"/>
          <a:ext cx="890587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ABSENT</a:t>
          </a:r>
        </a:p>
      </xdr:txBody>
    </xdr:sp>
    <xdr:clientData/>
  </xdr:twoCellAnchor>
  <xdr:twoCellAnchor>
    <xdr:from>
      <xdr:col>36</xdr:col>
      <xdr:colOff>66656</xdr:colOff>
      <xdr:row>0</xdr:row>
      <xdr:rowOff>78581</xdr:rowOff>
    </xdr:from>
    <xdr:to>
      <xdr:col>36</xdr:col>
      <xdr:colOff>447656</xdr:colOff>
      <xdr:row>2</xdr:row>
      <xdr:rowOff>19050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D75CC35D-6774-450A-A2D6-235A15F4B05B}"/>
            </a:ext>
          </a:extLst>
        </xdr:cNvPr>
        <xdr:cNvSpPr/>
      </xdr:nvSpPr>
      <xdr:spPr>
        <a:xfrm>
          <a:off x="18107006" y="78581"/>
          <a:ext cx="381000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36</xdr:col>
      <xdr:colOff>423844</xdr:colOff>
      <xdr:row>0</xdr:row>
      <xdr:rowOff>90488</xdr:rowOff>
    </xdr:from>
    <xdr:to>
      <xdr:col>39</xdr:col>
      <xdr:colOff>149999</xdr:colOff>
      <xdr:row>2</xdr:row>
      <xdr:rowOff>7144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61750D2C-6893-4E95-AE32-39B431C45F48}"/>
            </a:ext>
          </a:extLst>
        </xdr:cNvPr>
        <xdr:cNvSpPr/>
      </xdr:nvSpPr>
      <xdr:spPr>
        <a:xfrm>
          <a:off x="18464194" y="90488"/>
          <a:ext cx="897730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LEAVE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272143</xdr:colOff>
      <xdr:row>0</xdr:row>
      <xdr:rowOff>4948</xdr:rowOff>
    </xdr:from>
    <xdr:to>
      <xdr:col>40</xdr:col>
      <xdr:colOff>13607</xdr:colOff>
      <xdr:row>2</xdr:row>
      <xdr:rowOff>72984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699B771-8BA2-4FD4-A28F-18C7A3C7CBB3}"/>
            </a:ext>
          </a:extLst>
        </xdr:cNvPr>
        <xdr:cNvSpPr/>
      </xdr:nvSpPr>
      <xdr:spPr>
        <a:xfrm>
          <a:off x="1491343" y="4948"/>
          <a:ext cx="18115189" cy="449036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2</xdr:rowOff>
    </xdr:from>
    <xdr:to>
      <xdr:col>2</xdr:col>
      <xdr:colOff>304799</xdr:colOff>
      <xdr:row>36</xdr:row>
      <xdr:rowOff>27214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AD8BBBF-53A4-419F-99B3-5F2E64E99276}"/>
            </a:ext>
          </a:extLst>
        </xdr:cNvPr>
        <xdr:cNvSpPr/>
      </xdr:nvSpPr>
      <xdr:spPr>
        <a:xfrm>
          <a:off x="0" y="2"/>
          <a:ext cx="1523999" cy="691378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59872</xdr:rowOff>
    </xdr:from>
    <xdr:to>
      <xdr:col>2</xdr:col>
      <xdr:colOff>583746</xdr:colOff>
      <xdr:row>7</xdr:row>
      <xdr:rowOff>57150</xdr:rowOff>
    </xdr:to>
    <xdr:sp macro="" textlink="">
      <xdr:nvSpPr>
        <xdr:cNvPr id="4" name="Rectangle: Diagonal Corners Rounded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952185-30E5-4326-83C3-7CD70E5F6D0D}"/>
            </a:ext>
          </a:extLst>
        </xdr:cNvPr>
        <xdr:cNvSpPr/>
      </xdr:nvSpPr>
      <xdr:spPr>
        <a:xfrm>
          <a:off x="0" y="1021897"/>
          <a:ext cx="1802946" cy="387803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7</xdr:row>
      <xdr:rowOff>185057</xdr:rowOff>
    </xdr:from>
    <xdr:to>
      <xdr:col>2</xdr:col>
      <xdr:colOff>583746</xdr:colOff>
      <xdr:row>9</xdr:row>
      <xdr:rowOff>182335</xdr:rowOff>
    </xdr:to>
    <xdr:sp macro="" textlink="">
      <xdr:nvSpPr>
        <xdr:cNvPr id="5" name="Rectangle: Diagonal Corners Rounded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ECD41D-29ED-42D4-84B6-0BA3179007BF}"/>
            </a:ext>
          </a:extLst>
        </xdr:cNvPr>
        <xdr:cNvSpPr/>
      </xdr:nvSpPr>
      <xdr:spPr>
        <a:xfrm>
          <a:off x="0" y="1537607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10</xdr:row>
      <xdr:rowOff>92529</xdr:rowOff>
    </xdr:from>
    <xdr:to>
      <xdr:col>2</xdr:col>
      <xdr:colOff>583746</xdr:colOff>
      <xdr:row>12</xdr:row>
      <xdr:rowOff>89807</xdr:rowOff>
    </xdr:to>
    <xdr:sp macro="" textlink="">
      <xdr:nvSpPr>
        <xdr:cNvPr id="6" name="Rectangle: Diagonal Corners Rounded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E661C9-E1DD-43E3-9B48-5CE994D3BDEE}"/>
            </a:ext>
          </a:extLst>
        </xdr:cNvPr>
        <xdr:cNvSpPr/>
      </xdr:nvSpPr>
      <xdr:spPr>
        <a:xfrm>
          <a:off x="0" y="20165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APRIL</a:t>
          </a:r>
          <a:endParaRPr lang="en-US" sz="1100"/>
        </a:p>
      </xdr:txBody>
    </xdr:sp>
    <xdr:clientData/>
  </xdr:twoCellAnchor>
  <xdr:twoCellAnchor>
    <xdr:from>
      <xdr:col>1</xdr:col>
      <xdr:colOff>108555</xdr:colOff>
      <xdr:row>13</xdr:row>
      <xdr:rowOff>40822</xdr:rowOff>
    </xdr:from>
    <xdr:to>
      <xdr:col>4</xdr:col>
      <xdr:colOff>78468</xdr:colOff>
      <xdr:row>15</xdr:row>
      <xdr:rowOff>38100</xdr:rowOff>
    </xdr:to>
    <xdr:sp macro="" textlink="">
      <xdr:nvSpPr>
        <xdr:cNvPr id="7" name="Rectangle: Diagonal Corners Rounded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0A60AC5-9C77-4143-ACA2-DB85FF46D69E}"/>
            </a:ext>
          </a:extLst>
        </xdr:cNvPr>
        <xdr:cNvSpPr/>
      </xdr:nvSpPr>
      <xdr:spPr>
        <a:xfrm>
          <a:off x="722388" y="2538489"/>
          <a:ext cx="1811413" cy="378278"/>
        </a:xfrm>
        <a:prstGeom prst="round2Diag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noProof="0">
              <a:solidFill>
                <a:sysClr val="windowText" lastClr="000000"/>
              </a:solidFill>
              <a:latin typeface="Georgia" panose="02040502050405020303" pitchFamily="18" charset="0"/>
              <a:ea typeface="+mn-ea"/>
              <a:cs typeface="+mn-cs"/>
            </a:rPr>
            <a:t>MAY</a:t>
          </a:r>
          <a:endParaRPr lang="en-US" sz="1100" b="1">
            <a:solidFill>
              <a:sysClr val="windowText" lastClr="000000"/>
            </a:solidFill>
            <a:latin typeface="Georgia" panose="020405020504050203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16</xdr:row>
      <xdr:rowOff>2721</xdr:rowOff>
    </xdr:from>
    <xdr:to>
      <xdr:col>2</xdr:col>
      <xdr:colOff>583746</xdr:colOff>
      <xdr:row>17</xdr:row>
      <xdr:rowOff>190499</xdr:rowOff>
    </xdr:to>
    <xdr:sp macro="" textlink="">
      <xdr:nvSpPr>
        <xdr:cNvPr id="8" name="Rectangle: Diagonal Corners Rounded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8B25682-AF27-4E9D-ABEB-C9D9C9CCBADB}"/>
            </a:ext>
          </a:extLst>
        </xdr:cNvPr>
        <xdr:cNvSpPr/>
      </xdr:nvSpPr>
      <xdr:spPr>
        <a:xfrm>
          <a:off x="0" y="306977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18</xdr:row>
      <xdr:rowOff>168729</xdr:rowOff>
    </xdr:from>
    <xdr:to>
      <xdr:col>2</xdr:col>
      <xdr:colOff>583746</xdr:colOff>
      <xdr:row>20</xdr:row>
      <xdr:rowOff>166007</xdr:rowOff>
    </xdr:to>
    <xdr:sp macro="" textlink="">
      <xdr:nvSpPr>
        <xdr:cNvPr id="9" name="Rectangle: Diagonal Corners Rounded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85B0ADB-7B70-4567-A875-621179941F09}"/>
            </a:ext>
          </a:extLst>
        </xdr:cNvPr>
        <xdr:cNvSpPr/>
      </xdr:nvSpPr>
      <xdr:spPr>
        <a:xfrm>
          <a:off x="0" y="36167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21</xdr:row>
      <xdr:rowOff>125186</xdr:rowOff>
    </xdr:from>
    <xdr:to>
      <xdr:col>2</xdr:col>
      <xdr:colOff>583746</xdr:colOff>
      <xdr:row>23</xdr:row>
      <xdr:rowOff>122464</xdr:rowOff>
    </xdr:to>
    <xdr:sp macro="" textlink="">
      <xdr:nvSpPr>
        <xdr:cNvPr id="10" name="Rectangle: Diagonal Corners Rounded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50E9910-9373-4AFD-94A2-32179B3399C0}"/>
            </a:ext>
          </a:extLst>
        </xdr:cNvPr>
        <xdr:cNvSpPr/>
      </xdr:nvSpPr>
      <xdr:spPr>
        <a:xfrm>
          <a:off x="0" y="4144736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24</xdr:row>
      <xdr:rowOff>73480</xdr:rowOff>
    </xdr:from>
    <xdr:to>
      <xdr:col>2</xdr:col>
      <xdr:colOff>583746</xdr:colOff>
      <xdr:row>26</xdr:row>
      <xdr:rowOff>70758</xdr:rowOff>
    </xdr:to>
    <xdr:sp macro="" textlink="">
      <xdr:nvSpPr>
        <xdr:cNvPr id="11" name="Rectangle: Diagonal Corners Rounded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EB999F6-7BDC-4BED-9F09-1C675793E34C}"/>
            </a:ext>
          </a:extLst>
        </xdr:cNvPr>
        <xdr:cNvSpPr/>
      </xdr:nvSpPr>
      <xdr:spPr>
        <a:xfrm>
          <a:off x="0" y="467405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SEPTEMBER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27</xdr:row>
      <xdr:rowOff>8166</xdr:rowOff>
    </xdr:from>
    <xdr:to>
      <xdr:col>2</xdr:col>
      <xdr:colOff>583746</xdr:colOff>
      <xdr:row>29</xdr:row>
      <xdr:rowOff>5444</xdr:rowOff>
    </xdr:to>
    <xdr:sp macro="" textlink="">
      <xdr:nvSpPr>
        <xdr:cNvPr id="12" name="Rectangle: Diagonal Corners Rounded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D67CF85-2E0E-4C45-8419-8C2052BADAA5}"/>
            </a:ext>
          </a:extLst>
        </xdr:cNvPr>
        <xdr:cNvSpPr/>
      </xdr:nvSpPr>
      <xdr:spPr>
        <a:xfrm>
          <a:off x="0" y="518024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29</xdr:row>
      <xdr:rowOff>160564</xdr:rowOff>
    </xdr:from>
    <xdr:to>
      <xdr:col>2</xdr:col>
      <xdr:colOff>583746</xdr:colOff>
      <xdr:row>31</xdr:row>
      <xdr:rowOff>157842</xdr:rowOff>
    </xdr:to>
    <xdr:sp macro="" textlink="">
      <xdr:nvSpPr>
        <xdr:cNvPr id="13" name="Rectangle: Diagonal Corners Rounded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39175F1-9E86-437C-A96B-5642F0ECC028}"/>
            </a:ext>
          </a:extLst>
        </xdr:cNvPr>
        <xdr:cNvSpPr/>
      </xdr:nvSpPr>
      <xdr:spPr>
        <a:xfrm>
          <a:off x="0" y="571363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32</xdr:row>
      <xdr:rowOff>95250</xdr:rowOff>
    </xdr:from>
    <xdr:to>
      <xdr:col>2</xdr:col>
      <xdr:colOff>583746</xdr:colOff>
      <xdr:row>34</xdr:row>
      <xdr:rowOff>92528</xdr:rowOff>
    </xdr:to>
    <xdr:sp macro="" textlink="">
      <xdr:nvSpPr>
        <xdr:cNvPr id="14" name="Rectangle: Diagonal Corners Rounded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65B0497-0D1B-4CEF-B28A-8B4B3B3E4139}"/>
            </a:ext>
          </a:extLst>
        </xdr:cNvPr>
        <xdr:cNvSpPr/>
      </xdr:nvSpPr>
      <xdr:spPr>
        <a:xfrm>
          <a:off x="0" y="621982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DECEMBER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</xdr:row>
      <xdr:rowOff>141817</xdr:rowOff>
    </xdr:from>
    <xdr:to>
      <xdr:col>2</xdr:col>
      <xdr:colOff>585257</xdr:colOff>
      <xdr:row>4</xdr:row>
      <xdr:rowOff>139095</xdr:rowOff>
    </xdr:to>
    <xdr:sp macro="" textlink="">
      <xdr:nvSpPr>
        <xdr:cNvPr id="15" name="Rectangle: Diagonal Corners Rounded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BABF45E-F6A5-4574-A149-B6A674586937}"/>
            </a:ext>
          </a:extLst>
        </xdr:cNvPr>
        <xdr:cNvSpPr/>
      </xdr:nvSpPr>
      <xdr:spPr>
        <a:xfrm>
          <a:off x="0" y="522817"/>
          <a:ext cx="1812924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0" lang="en-US" sz="11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43</xdr:col>
      <xdr:colOff>591912</xdr:colOff>
      <xdr:row>0</xdr:row>
      <xdr:rowOff>0</xdr:rowOff>
    </xdr:from>
    <xdr:to>
      <xdr:col>58</xdr:col>
      <xdr:colOff>23813</xdr:colOff>
      <xdr:row>2</xdr:row>
      <xdr:rowOff>68036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1551989-4519-4819-B0FB-04EA29873AA7}"/>
            </a:ext>
          </a:extLst>
        </xdr:cNvPr>
        <xdr:cNvSpPr/>
      </xdr:nvSpPr>
      <xdr:spPr>
        <a:xfrm>
          <a:off x="22013637" y="0"/>
          <a:ext cx="11823926" cy="44903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chemeClr val="tx1"/>
              </a:solidFill>
              <a:latin typeface="Bell MT" panose="02020503060305020303" pitchFamily="18" charset="0"/>
            </a:rPr>
            <a:t>Monthly Reports</a:t>
          </a:r>
        </a:p>
      </xdr:txBody>
    </xdr:sp>
    <xdr:clientData/>
  </xdr:twoCellAnchor>
  <xdr:twoCellAnchor>
    <xdr:from>
      <xdr:col>2</xdr:col>
      <xdr:colOff>300404</xdr:colOff>
      <xdr:row>0</xdr:row>
      <xdr:rowOff>143791</xdr:rowOff>
    </xdr:from>
    <xdr:to>
      <xdr:col>3</xdr:col>
      <xdr:colOff>365432</xdr:colOff>
      <xdr:row>1</xdr:row>
      <xdr:rowOff>155697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905C90C-219B-4AD8-84D6-89D8F206CD83}"/>
            </a:ext>
          </a:extLst>
        </xdr:cNvPr>
        <xdr:cNvSpPr/>
      </xdr:nvSpPr>
      <xdr:spPr>
        <a:xfrm>
          <a:off x="1519604" y="143791"/>
          <a:ext cx="674628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From</a:t>
          </a:r>
        </a:p>
      </xdr:txBody>
    </xdr:sp>
    <xdr:clientData/>
  </xdr:twoCellAnchor>
  <xdr:twoCellAnchor>
    <xdr:from>
      <xdr:col>3</xdr:col>
      <xdr:colOff>370374</xdr:colOff>
      <xdr:row>0</xdr:row>
      <xdr:rowOff>139212</xdr:rowOff>
    </xdr:from>
    <xdr:to>
      <xdr:col>5</xdr:col>
      <xdr:colOff>216510</xdr:colOff>
      <xdr:row>1</xdr:row>
      <xdr:rowOff>151118</xdr:rowOff>
    </xdr:to>
    <xdr:sp macro="" textlink="$G$4">
      <xdr:nvSpPr>
        <xdr:cNvPr id="18" name="Rectangle 17">
          <a:extLst>
            <a:ext uri="{FF2B5EF4-FFF2-40B4-BE49-F238E27FC236}">
              <a16:creationId xmlns:a16="http://schemas.microsoft.com/office/drawing/2014/main" id="{3D192686-A832-45B7-BA3C-D95DD57A2551}"/>
            </a:ext>
          </a:extLst>
        </xdr:cNvPr>
        <xdr:cNvSpPr/>
      </xdr:nvSpPr>
      <xdr:spPr>
        <a:xfrm>
          <a:off x="2199174" y="139212"/>
          <a:ext cx="1065336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AF7FD6A-326D-4FD2-93D5-C10684C050A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1-May-2026</a:t>
          </a:fld>
          <a:endParaRPr lang="en-US" sz="1100"/>
        </a:p>
      </xdr:txBody>
    </xdr:sp>
    <xdr:clientData/>
  </xdr:twoCellAnchor>
  <xdr:twoCellAnchor>
    <xdr:from>
      <xdr:col>5</xdr:col>
      <xdr:colOff>328246</xdr:colOff>
      <xdr:row>0</xdr:row>
      <xdr:rowOff>149653</xdr:rowOff>
    </xdr:from>
    <xdr:to>
      <xdr:col>6</xdr:col>
      <xdr:colOff>451890</xdr:colOff>
      <xdr:row>1</xdr:row>
      <xdr:rowOff>161559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B4EAE1-27CA-4325-BCEA-8EC528B38D56}"/>
            </a:ext>
          </a:extLst>
        </xdr:cNvPr>
        <xdr:cNvSpPr/>
      </xdr:nvSpPr>
      <xdr:spPr>
        <a:xfrm>
          <a:off x="3376246" y="149653"/>
          <a:ext cx="676094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To</a:t>
          </a:r>
        </a:p>
      </xdr:txBody>
    </xdr:sp>
    <xdr:clientData/>
  </xdr:twoCellAnchor>
  <xdr:twoCellAnchor>
    <xdr:from>
      <xdr:col>6</xdr:col>
      <xdr:colOff>456832</xdr:colOff>
      <xdr:row>0</xdr:row>
      <xdr:rowOff>147272</xdr:rowOff>
    </xdr:from>
    <xdr:to>
      <xdr:col>7</xdr:col>
      <xdr:colOff>537429</xdr:colOff>
      <xdr:row>1</xdr:row>
      <xdr:rowOff>159178</xdr:rowOff>
    </xdr:to>
    <xdr:sp macro="" textlink="$K$4">
      <xdr:nvSpPr>
        <xdr:cNvPr id="20" name="Rectangle 19">
          <a:extLst>
            <a:ext uri="{FF2B5EF4-FFF2-40B4-BE49-F238E27FC236}">
              <a16:creationId xmlns:a16="http://schemas.microsoft.com/office/drawing/2014/main" id="{24B9C653-8B2C-4AE1-A21D-79590DA69E7F}"/>
            </a:ext>
          </a:extLst>
        </xdr:cNvPr>
        <xdr:cNvSpPr/>
      </xdr:nvSpPr>
      <xdr:spPr>
        <a:xfrm>
          <a:off x="4057282" y="147272"/>
          <a:ext cx="1061672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F40C6E-C0CB-4AF1-BD78-7DC7EA8C2F5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31-May-2026</a:t>
          </a:fld>
          <a:endParaRPr lang="en-US" sz="1100"/>
        </a:p>
      </xdr:txBody>
    </xdr:sp>
    <xdr:clientData/>
  </xdr:twoCellAnchor>
  <xdr:twoCellAnchor>
    <xdr:from>
      <xdr:col>7</xdr:col>
      <xdr:colOff>1128346</xdr:colOff>
      <xdr:row>0</xdr:row>
      <xdr:rowOff>109904</xdr:rowOff>
    </xdr:from>
    <xdr:to>
      <xdr:col>15</xdr:col>
      <xdr:colOff>314325</xdr:colOff>
      <xdr:row>2</xdr:row>
      <xdr:rowOff>14654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FB4BE2AC-8007-4A5E-AB3E-5462272AD397}"/>
            </a:ext>
          </a:extLst>
        </xdr:cNvPr>
        <xdr:cNvSpPr/>
      </xdr:nvSpPr>
      <xdr:spPr>
        <a:xfrm>
          <a:off x="5709871" y="109904"/>
          <a:ext cx="4100879" cy="2857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1348884</xdr:colOff>
      <xdr:row>0</xdr:row>
      <xdr:rowOff>131886</xdr:rowOff>
    </xdr:from>
    <xdr:to>
      <xdr:col>12</xdr:col>
      <xdr:colOff>123825</xdr:colOff>
      <xdr:row>2</xdr:row>
      <xdr:rowOff>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696A16EB-8DB8-417C-A082-D05E7CFFBAA4}"/>
            </a:ext>
          </a:extLst>
        </xdr:cNvPr>
        <xdr:cNvSpPr/>
      </xdr:nvSpPr>
      <xdr:spPr>
        <a:xfrm>
          <a:off x="5930409" y="131886"/>
          <a:ext cx="2413491" cy="2491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0">
              <a:solidFill>
                <a:sysClr val="windowText" lastClr="000000"/>
              </a:solidFill>
              <a:latin typeface="Bahnschrift SemiBold Condensed" panose="020B0502040204020203" pitchFamily="34" charset="0"/>
            </a:rPr>
            <a:t>Dashboard For the Month of</a:t>
          </a:r>
        </a:p>
      </xdr:txBody>
    </xdr:sp>
    <xdr:clientData/>
  </xdr:twoCellAnchor>
  <xdr:twoCellAnchor>
    <xdr:from>
      <xdr:col>11</xdr:col>
      <xdr:colOff>219074</xdr:colOff>
      <xdr:row>0</xdr:row>
      <xdr:rowOff>109971</xdr:rowOff>
    </xdr:from>
    <xdr:to>
      <xdr:col>15</xdr:col>
      <xdr:colOff>180974</xdr:colOff>
      <xdr:row>1</xdr:row>
      <xdr:rowOff>181841</xdr:rowOff>
    </xdr:to>
    <xdr:sp macro="" textlink="$I$4">
      <xdr:nvSpPr>
        <xdr:cNvPr id="23" name="Rectangle 22">
          <a:extLst>
            <a:ext uri="{FF2B5EF4-FFF2-40B4-BE49-F238E27FC236}">
              <a16:creationId xmlns:a16="http://schemas.microsoft.com/office/drawing/2014/main" id="{377107E1-5552-4750-8EE3-3E23AFF533F0}"/>
            </a:ext>
          </a:extLst>
        </xdr:cNvPr>
        <xdr:cNvSpPr/>
      </xdr:nvSpPr>
      <xdr:spPr>
        <a:xfrm>
          <a:off x="8048624" y="109971"/>
          <a:ext cx="1628775" cy="2623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BB569BB-9BB2-4291-BB2C-506B0E15CC47}" type="TxLink">
            <a:rPr lang="en-US" sz="1800" b="1" i="0" u="none" strike="noStrike">
              <a:solidFill>
                <a:srgbClr val="7030A0"/>
              </a:solidFill>
              <a:latin typeface="Bell MT" panose="02020503060305020303" pitchFamily="18" charset="0"/>
              <a:ea typeface="Calibri"/>
              <a:cs typeface="Calibri"/>
            </a:rPr>
            <a:pPr algn="ctr"/>
            <a:t>May</a:t>
          </a:fld>
          <a:endParaRPr lang="en-US" sz="1800" b="1">
            <a:solidFill>
              <a:srgbClr val="7030A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29</xdr:col>
      <xdr:colOff>142854</xdr:colOff>
      <xdr:row>0</xdr:row>
      <xdr:rowOff>83343</xdr:rowOff>
    </xdr:from>
    <xdr:to>
      <xdr:col>30</xdr:col>
      <xdr:colOff>71417</xdr:colOff>
      <xdr:row>2</xdr:row>
      <xdr:rowOff>23812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E08343C-FD36-4AD1-9AFC-64138F8559CB}"/>
            </a:ext>
          </a:extLst>
        </xdr:cNvPr>
        <xdr:cNvSpPr/>
      </xdr:nvSpPr>
      <xdr:spPr>
        <a:xfrm>
          <a:off x="15335229" y="83343"/>
          <a:ext cx="385763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</a:t>
          </a:r>
        </a:p>
      </xdr:txBody>
    </xdr:sp>
    <xdr:clientData/>
  </xdr:twoCellAnchor>
  <xdr:twoCellAnchor>
    <xdr:from>
      <xdr:col>30</xdr:col>
      <xdr:colOff>47605</xdr:colOff>
      <xdr:row>0</xdr:row>
      <xdr:rowOff>95250</xdr:rowOff>
    </xdr:from>
    <xdr:to>
      <xdr:col>32</xdr:col>
      <xdr:colOff>226198</xdr:colOff>
      <xdr:row>2</xdr:row>
      <xdr:rowOff>11906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C94CD03-D53D-432D-92FB-EE519AE5902E}"/>
            </a:ext>
          </a:extLst>
        </xdr:cNvPr>
        <xdr:cNvSpPr/>
      </xdr:nvSpPr>
      <xdr:spPr>
        <a:xfrm>
          <a:off x="15697180" y="95250"/>
          <a:ext cx="902493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PRESENT</a:t>
          </a:r>
        </a:p>
      </xdr:txBody>
    </xdr:sp>
    <xdr:clientData/>
  </xdr:twoCellAnchor>
  <xdr:twoCellAnchor>
    <xdr:from>
      <xdr:col>32</xdr:col>
      <xdr:colOff>390507</xdr:colOff>
      <xdr:row>0</xdr:row>
      <xdr:rowOff>80963</xdr:rowOff>
    </xdr:from>
    <xdr:to>
      <xdr:col>33</xdr:col>
      <xdr:colOff>378600</xdr:colOff>
      <xdr:row>2</xdr:row>
      <xdr:rowOff>21432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F3B91CF-A1A7-4BC3-A8A0-BE9504CE4E79}"/>
            </a:ext>
          </a:extLst>
        </xdr:cNvPr>
        <xdr:cNvSpPr/>
      </xdr:nvSpPr>
      <xdr:spPr>
        <a:xfrm>
          <a:off x="16763982" y="80963"/>
          <a:ext cx="378618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🔴</a:t>
          </a:r>
        </a:p>
      </xdr:txBody>
    </xdr:sp>
    <xdr:clientData/>
  </xdr:twoCellAnchor>
  <xdr:twoCellAnchor>
    <xdr:from>
      <xdr:col>33</xdr:col>
      <xdr:colOff>354788</xdr:colOff>
      <xdr:row>0</xdr:row>
      <xdr:rowOff>92870</xdr:rowOff>
    </xdr:from>
    <xdr:to>
      <xdr:col>35</xdr:col>
      <xdr:colOff>378600</xdr:colOff>
      <xdr:row>2</xdr:row>
      <xdr:rowOff>9526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FBEE815-FB58-48A8-88EF-DCB8F125718C}"/>
            </a:ext>
          </a:extLst>
        </xdr:cNvPr>
        <xdr:cNvSpPr/>
      </xdr:nvSpPr>
      <xdr:spPr>
        <a:xfrm>
          <a:off x="17118788" y="92870"/>
          <a:ext cx="890587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ABSENT</a:t>
          </a:r>
        </a:p>
      </xdr:txBody>
    </xdr:sp>
    <xdr:clientData/>
  </xdr:twoCellAnchor>
  <xdr:twoCellAnchor>
    <xdr:from>
      <xdr:col>36</xdr:col>
      <xdr:colOff>66656</xdr:colOff>
      <xdr:row>0</xdr:row>
      <xdr:rowOff>78581</xdr:rowOff>
    </xdr:from>
    <xdr:to>
      <xdr:col>36</xdr:col>
      <xdr:colOff>447656</xdr:colOff>
      <xdr:row>2</xdr:row>
      <xdr:rowOff>19050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1A55BB0-2C3F-456F-BAC6-F56C38A8B238}"/>
            </a:ext>
          </a:extLst>
        </xdr:cNvPr>
        <xdr:cNvSpPr/>
      </xdr:nvSpPr>
      <xdr:spPr>
        <a:xfrm>
          <a:off x="18107006" y="78581"/>
          <a:ext cx="381000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36</xdr:col>
      <xdr:colOff>423844</xdr:colOff>
      <xdr:row>0</xdr:row>
      <xdr:rowOff>90488</xdr:rowOff>
    </xdr:from>
    <xdr:to>
      <xdr:col>39</xdr:col>
      <xdr:colOff>149999</xdr:colOff>
      <xdr:row>2</xdr:row>
      <xdr:rowOff>7144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12C1EC1-026E-40E5-9FEC-451BAF592750}"/>
            </a:ext>
          </a:extLst>
        </xdr:cNvPr>
        <xdr:cNvSpPr/>
      </xdr:nvSpPr>
      <xdr:spPr>
        <a:xfrm>
          <a:off x="18464194" y="90488"/>
          <a:ext cx="897730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LEAVE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272143</xdr:colOff>
      <xdr:row>0</xdr:row>
      <xdr:rowOff>4948</xdr:rowOff>
    </xdr:from>
    <xdr:to>
      <xdr:col>40</xdr:col>
      <xdr:colOff>13607</xdr:colOff>
      <xdr:row>2</xdr:row>
      <xdr:rowOff>72984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3AD2C8-6B0D-4641-AF0F-A7F4215694E6}"/>
            </a:ext>
          </a:extLst>
        </xdr:cNvPr>
        <xdr:cNvSpPr/>
      </xdr:nvSpPr>
      <xdr:spPr>
        <a:xfrm>
          <a:off x="1491343" y="4948"/>
          <a:ext cx="18115189" cy="449036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2</xdr:rowOff>
    </xdr:from>
    <xdr:to>
      <xdr:col>2</xdr:col>
      <xdr:colOff>304799</xdr:colOff>
      <xdr:row>36</xdr:row>
      <xdr:rowOff>27214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AF511A-2EB2-4AA5-AA8D-58FEA6E75313}"/>
            </a:ext>
          </a:extLst>
        </xdr:cNvPr>
        <xdr:cNvSpPr/>
      </xdr:nvSpPr>
      <xdr:spPr>
        <a:xfrm>
          <a:off x="0" y="2"/>
          <a:ext cx="1523999" cy="691378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59872</xdr:rowOff>
    </xdr:from>
    <xdr:to>
      <xdr:col>2</xdr:col>
      <xdr:colOff>583746</xdr:colOff>
      <xdr:row>7</xdr:row>
      <xdr:rowOff>57150</xdr:rowOff>
    </xdr:to>
    <xdr:sp macro="" textlink="">
      <xdr:nvSpPr>
        <xdr:cNvPr id="4" name="Rectangle: Diagonal Corners Rounded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F95A0A-53E9-497F-8927-9E0B161CDAAA}"/>
            </a:ext>
          </a:extLst>
        </xdr:cNvPr>
        <xdr:cNvSpPr/>
      </xdr:nvSpPr>
      <xdr:spPr>
        <a:xfrm>
          <a:off x="0" y="1021897"/>
          <a:ext cx="1802946" cy="387803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7</xdr:row>
      <xdr:rowOff>185057</xdr:rowOff>
    </xdr:from>
    <xdr:to>
      <xdr:col>2</xdr:col>
      <xdr:colOff>583746</xdr:colOff>
      <xdr:row>9</xdr:row>
      <xdr:rowOff>182335</xdr:rowOff>
    </xdr:to>
    <xdr:sp macro="" textlink="">
      <xdr:nvSpPr>
        <xdr:cNvPr id="5" name="Rectangle: Diagonal Corners Rounded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2903E6-9532-4630-A642-CC60F88429A5}"/>
            </a:ext>
          </a:extLst>
        </xdr:cNvPr>
        <xdr:cNvSpPr/>
      </xdr:nvSpPr>
      <xdr:spPr>
        <a:xfrm>
          <a:off x="0" y="1537607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10</xdr:row>
      <xdr:rowOff>92529</xdr:rowOff>
    </xdr:from>
    <xdr:to>
      <xdr:col>2</xdr:col>
      <xdr:colOff>583746</xdr:colOff>
      <xdr:row>12</xdr:row>
      <xdr:rowOff>89807</xdr:rowOff>
    </xdr:to>
    <xdr:sp macro="" textlink="">
      <xdr:nvSpPr>
        <xdr:cNvPr id="6" name="Rectangle: Diagonal Corners Rounded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C870DF-BEB2-4BF5-A0DB-29D882DB4BCF}"/>
            </a:ext>
          </a:extLst>
        </xdr:cNvPr>
        <xdr:cNvSpPr/>
      </xdr:nvSpPr>
      <xdr:spPr>
        <a:xfrm>
          <a:off x="0" y="20165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2721</xdr:colOff>
      <xdr:row>13</xdr:row>
      <xdr:rowOff>40822</xdr:rowOff>
    </xdr:from>
    <xdr:to>
      <xdr:col>2</xdr:col>
      <xdr:colOff>586467</xdr:colOff>
      <xdr:row>15</xdr:row>
      <xdr:rowOff>38100</xdr:rowOff>
    </xdr:to>
    <xdr:sp macro="" textlink="">
      <xdr:nvSpPr>
        <xdr:cNvPr id="7" name="Rectangle: Diagonal Corners Rounded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6A39DA0-D4E7-46B9-8C79-6DE0277528E8}"/>
            </a:ext>
          </a:extLst>
        </xdr:cNvPr>
        <xdr:cNvSpPr/>
      </xdr:nvSpPr>
      <xdr:spPr>
        <a:xfrm>
          <a:off x="2721" y="2536372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MAY</a:t>
          </a:r>
          <a:endParaRPr lang="en-US" sz="1100"/>
        </a:p>
      </xdr:txBody>
    </xdr:sp>
    <xdr:clientData/>
  </xdr:twoCellAnchor>
  <xdr:twoCellAnchor>
    <xdr:from>
      <xdr:col>1</xdr:col>
      <xdr:colOff>107156</xdr:colOff>
      <xdr:row>16</xdr:row>
      <xdr:rowOff>2721</xdr:rowOff>
    </xdr:from>
    <xdr:to>
      <xdr:col>4</xdr:col>
      <xdr:colOff>83684</xdr:colOff>
      <xdr:row>18</xdr:row>
      <xdr:rowOff>-1</xdr:rowOff>
    </xdr:to>
    <xdr:sp macro="" textlink="">
      <xdr:nvSpPr>
        <xdr:cNvPr id="8" name="Rectangle: Diagonal Corners Rounded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E53E610-868A-4E12-82EE-23F4140F7D1E}"/>
            </a:ext>
          </a:extLst>
        </xdr:cNvPr>
        <xdr:cNvSpPr/>
      </xdr:nvSpPr>
      <xdr:spPr>
        <a:xfrm>
          <a:off x="714375" y="3074534"/>
          <a:ext cx="1798184" cy="378278"/>
        </a:xfrm>
        <a:prstGeom prst="round2Diag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noProof="0">
              <a:solidFill>
                <a:sysClr val="windowText" lastClr="000000"/>
              </a:solidFill>
              <a:latin typeface="Georgia" panose="02040502050405020303" pitchFamily="18" charset="0"/>
              <a:ea typeface="+mn-ea"/>
              <a:cs typeface="+mn-cs"/>
            </a:rPr>
            <a:t>JUNE</a:t>
          </a:r>
          <a:endParaRPr lang="en-US" sz="1100" b="1">
            <a:solidFill>
              <a:sysClr val="windowText" lastClr="000000"/>
            </a:solidFill>
            <a:latin typeface="Georgia" panose="020405020504050203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18</xdr:row>
      <xdr:rowOff>168729</xdr:rowOff>
    </xdr:from>
    <xdr:to>
      <xdr:col>2</xdr:col>
      <xdr:colOff>583746</xdr:colOff>
      <xdr:row>20</xdr:row>
      <xdr:rowOff>166007</xdr:rowOff>
    </xdr:to>
    <xdr:sp macro="" textlink="">
      <xdr:nvSpPr>
        <xdr:cNvPr id="9" name="Rectangle: Diagonal Corners Rounded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9F0C8B9-5FE6-4E1F-9A37-F0E55FCDA0BC}"/>
            </a:ext>
          </a:extLst>
        </xdr:cNvPr>
        <xdr:cNvSpPr/>
      </xdr:nvSpPr>
      <xdr:spPr>
        <a:xfrm>
          <a:off x="0" y="36167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21</xdr:row>
      <xdr:rowOff>125186</xdr:rowOff>
    </xdr:from>
    <xdr:to>
      <xdr:col>2</xdr:col>
      <xdr:colOff>583746</xdr:colOff>
      <xdr:row>23</xdr:row>
      <xdr:rowOff>122464</xdr:rowOff>
    </xdr:to>
    <xdr:sp macro="" textlink="">
      <xdr:nvSpPr>
        <xdr:cNvPr id="10" name="Rectangle: Diagonal Corners Rounded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C246409-83A2-4A37-B810-6BAD3FA1D126}"/>
            </a:ext>
          </a:extLst>
        </xdr:cNvPr>
        <xdr:cNvSpPr/>
      </xdr:nvSpPr>
      <xdr:spPr>
        <a:xfrm>
          <a:off x="0" y="4144736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24</xdr:row>
      <xdr:rowOff>73480</xdr:rowOff>
    </xdr:from>
    <xdr:to>
      <xdr:col>2</xdr:col>
      <xdr:colOff>583746</xdr:colOff>
      <xdr:row>26</xdr:row>
      <xdr:rowOff>70758</xdr:rowOff>
    </xdr:to>
    <xdr:sp macro="" textlink="">
      <xdr:nvSpPr>
        <xdr:cNvPr id="11" name="Rectangle: Diagonal Corners Rounded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33791E2-5BF5-4FD7-852E-62921CB0B037}"/>
            </a:ext>
          </a:extLst>
        </xdr:cNvPr>
        <xdr:cNvSpPr/>
      </xdr:nvSpPr>
      <xdr:spPr>
        <a:xfrm>
          <a:off x="0" y="467405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SEPTEMBER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27</xdr:row>
      <xdr:rowOff>8166</xdr:rowOff>
    </xdr:from>
    <xdr:to>
      <xdr:col>2</xdr:col>
      <xdr:colOff>583746</xdr:colOff>
      <xdr:row>29</xdr:row>
      <xdr:rowOff>5444</xdr:rowOff>
    </xdr:to>
    <xdr:sp macro="" textlink="">
      <xdr:nvSpPr>
        <xdr:cNvPr id="12" name="Rectangle: Diagonal Corners Rounded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807B175-6A22-47B6-97AA-CE7C0177269F}"/>
            </a:ext>
          </a:extLst>
        </xdr:cNvPr>
        <xdr:cNvSpPr/>
      </xdr:nvSpPr>
      <xdr:spPr>
        <a:xfrm>
          <a:off x="0" y="518024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29</xdr:row>
      <xdr:rowOff>160564</xdr:rowOff>
    </xdr:from>
    <xdr:to>
      <xdr:col>2</xdr:col>
      <xdr:colOff>583746</xdr:colOff>
      <xdr:row>31</xdr:row>
      <xdr:rowOff>157842</xdr:rowOff>
    </xdr:to>
    <xdr:sp macro="" textlink="">
      <xdr:nvSpPr>
        <xdr:cNvPr id="13" name="Rectangle: Diagonal Corners Rounded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4D97F99-6F23-4C62-82D1-9A17363A240A}"/>
            </a:ext>
          </a:extLst>
        </xdr:cNvPr>
        <xdr:cNvSpPr/>
      </xdr:nvSpPr>
      <xdr:spPr>
        <a:xfrm>
          <a:off x="0" y="571363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32</xdr:row>
      <xdr:rowOff>95250</xdr:rowOff>
    </xdr:from>
    <xdr:to>
      <xdr:col>2</xdr:col>
      <xdr:colOff>583746</xdr:colOff>
      <xdr:row>34</xdr:row>
      <xdr:rowOff>92528</xdr:rowOff>
    </xdr:to>
    <xdr:sp macro="" textlink="">
      <xdr:nvSpPr>
        <xdr:cNvPr id="14" name="Rectangle: Diagonal Corners Rounded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F1E549D-3482-4C74-AD39-E7C0556A592B}"/>
            </a:ext>
          </a:extLst>
        </xdr:cNvPr>
        <xdr:cNvSpPr/>
      </xdr:nvSpPr>
      <xdr:spPr>
        <a:xfrm>
          <a:off x="0" y="621982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DECEMBER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2</xdr:col>
      <xdr:colOff>578642</xdr:colOff>
      <xdr:row>4</xdr:row>
      <xdr:rowOff>149679</xdr:rowOff>
    </xdr:to>
    <xdr:sp macro="" textlink="">
      <xdr:nvSpPr>
        <xdr:cNvPr id="15" name="Rectangle: Diagonal Corners Rounded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B6ADE83-54DC-4475-9FD2-A2E5B152F604}"/>
            </a:ext>
          </a:extLst>
        </xdr:cNvPr>
        <xdr:cNvSpPr/>
      </xdr:nvSpPr>
      <xdr:spPr>
        <a:xfrm>
          <a:off x="0" y="533401"/>
          <a:ext cx="1793080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0" lang="en-US" sz="11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43</xdr:col>
      <xdr:colOff>591912</xdr:colOff>
      <xdr:row>0</xdr:row>
      <xdr:rowOff>0</xdr:rowOff>
    </xdr:from>
    <xdr:to>
      <xdr:col>58</xdr:col>
      <xdr:colOff>23813</xdr:colOff>
      <xdr:row>2</xdr:row>
      <xdr:rowOff>68036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ECCB90F-ABD9-436D-B697-261C0B077A94}"/>
            </a:ext>
          </a:extLst>
        </xdr:cNvPr>
        <xdr:cNvSpPr/>
      </xdr:nvSpPr>
      <xdr:spPr>
        <a:xfrm>
          <a:off x="22013637" y="0"/>
          <a:ext cx="11823926" cy="44903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chemeClr val="tx1"/>
              </a:solidFill>
              <a:latin typeface="Bell MT" panose="02020503060305020303" pitchFamily="18" charset="0"/>
            </a:rPr>
            <a:t>Monthly Reports</a:t>
          </a:r>
        </a:p>
      </xdr:txBody>
    </xdr:sp>
    <xdr:clientData/>
  </xdr:twoCellAnchor>
  <xdr:twoCellAnchor>
    <xdr:from>
      <xdr:col>2</xdr:col>
      <xdr:colOff>300404</xdr:colOff>
      <xdr:row>0</xdr:row>
      <xdr:rowOff>143791</xdr:rowOff>
    </xdr:from>
    <xdr:to>
      <xdr:col>3</xdr:col>
      <xdr:colOff>365432</xdr:colOff>
      <xdr:row>1</xdr:row>
      <xdr:rowOff>155697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BE5C401-62D4-45DC-8BF6-667240DFE1E1}"/>
            </a:ext>
          </a:extLst>
        </xdr:cNvPr>
        <xdr:cNvSpPr/>
      </xdr:nvSpPr>
      <xdr:spPr>
        <a:xfrm>
          <a:off x="1519604" y="143791"/>
          <a:ext cx="674628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From</a:t>
          </a:r>
        </a:p>
      </xdr:txBody>
    </xdr:sp>
    <xdr:clientData/>
  </xdr:twoCellAnchor>
  <xdr:twoCellAnchor>
    <xdr:from>
      <xdr:col>3</xdr:col>
      <xdr:colOff>370374</xdr:colOff>
      <xdr:row>0</xdr:row>
      <xdr:rowOff>139212</xdr:rowOff>
    </xdr:from>
    <xdr:to>
      <xdr:col>5</xdr:col>
      <xdr:colOff>216510</xdr:colOff>
      <xdr:row>1</xdr:row>
      <xdr:rowOff>151118</xdr:rowOff>
    </xdr:to>
    <xdr:sp macro="" textlink="$G$4">
      <xdr:nvSpPr>
        <xdr:cNvPr id="18" name="Rectangle 17">
          <a:extLst>
            <a:ext uri="{FF2B5EF4-FFF2-40B4-BE49-F238E27FC236}">
              <a16:creationId xmlns:a16="http://schemas.microsoft.com/office/drawing/2014/main" id="{2ACBB83C-8E46-4DD5-AC44-4867C780361A}"/>
            </a:ext>
          </a:extLst>
        </xdr:cNvPr>
        <xdr:cNvSpPr/>
      </xdr:nvSpPr>
      <xdr:spPr>
        <a:xfrm>
          <a:off x="2199174" y="139212"/>
          <a:ext cx="1065336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AF7FD6A-326D-4FD2-93D5-C10684C050A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1-Jun-2026</a:t>
          </a:fld>
          <a:endParaRPr lang="en-US" sz="1100"/>
        </a:p>
      </xdr:txBody>
    </xdr:sp>
    <xdr:clientData/>
  </xdr:twoCellAnchor>
  <xdr:twoCellAnchor>
    <xdr:from>
      <xdr:col>5</xdr:col>
      <xdr:colOff>328246</xdr:colOff>
      <xdr:row>0</xdr:row>
      <xdr:rowOff>149653</xdr:rowOff>
    </xdr:from>
    <xdr:to>
      <xdr:col>6</xdr:col>
      <xdr:colOff>451890</xdr:colOff>
      <xdr:row>1</xdr:row>
      <xdr:rowOff>161559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1CFB139-023A-44E0-BC67-3A2C791481EA}"/>
            </a:ext>
          </a:extLst>
        </xdr:cNvPr>
        <xdr:cNvSpPr/>
      </xdr:nvSpPr>
      <xdr:spPr>
        <a:xfrm>
          <a:off x="3376246" y="149653"/>
          <a:ext cx="676094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To</a:t>
          </a:r>
        </a:p>
      </xdr:txBody>
    </xdr:sp>
    <xdr:clientData/>
  </xdr:twoCellAnchor>
  <xdr:twoCellAnchor>
    <xdr:from>
      <xdr:col>6</xdr:col>
      <xdr:colOff>456832</xdr:colOff>
      <xdr:row>0</xdr:row>
      <xdr:rowOff>147272</xdr:rowOff>
    </xdr:from>
    <xdr:to>
      <xdr:col>7</xdr:col>
      <xdr:colOff>537429</xdr:colOff>
      <xdr:row>1</xdr:row>
      <xdr:rowOff>159178</xdr:rowOff>
    </xdr:to>
    <xdr:sp macro="" textlink="$K$4">
      <xdr:nvSpPr>
        <xdr:cNvPr id="20" name="Rectangle 19">
          <a:extLst>
            <a:ext uri="{FF2B5EF4-FFF2-40B4-BE49-F238E27FC236}">
              <a16:creationId xmlns:a16="http://schemas.microsoft.com/office/drawing/2014/main" id="{75729BDF-3A0A-478C-80E6-B6EDB52E6494}"/>
            </a:ext>
          </a:extLst>
        </xdr:cNvPr>
        <xdr:cNvSpPr/>
      </xdr:nvSpPr>
      <xdr:spPr>
        <a:xfrm>
          <a:off x="4057282" y="147272"/>
          <a:ext cx="1061672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F40C6E-C0CB-4AF1-BD78-7DC7EA8C2F5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30-Jun-2026</a:t>
          </a:fld>
          <a:endParaRPr lang="en-US" sz="1100"/>
        </a:p>
      </xdr:txBody>
    </xdr:sp>
    <xdr:clientData/>
  </xdr:twoCellAnchor>
  <xdr:twoCellAnchor>
    <xdr:from>
      <xdr:col>7</xdr:col>
      <xdr:colOff>1128346</xdr:colOff>
      <xdr:row>0</xdr:row>
      <xdr:rowOff>109904</xdr:rowOff>
    </xdr:from>
    <xdr:to>
      <xdr:col>15</xdr:col>
      <xdr:colOff>314325</xdr:colOff>
      <xdr:row>2</xdr:row>
      <xdr:rowOff>14654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F175C3DB-985E-4754-8F40-94E206A1A5F3}"/>
            </a:ext>
          </a:extLst>
        </xdr:cNvPr>
        <xdr:cNvSpPr/>
      </xdr:nvSpPr>
      <xdr:spPr>
        <a:xfrm>
          <a:off x="5709871" y="109904"/>
          <a:ext cx="4100879" cy="2857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1348884</xdr:colOff>
      <xdr:row>0</xdr:row>
      <xdr:rowOff>131886</xdr:rowOff>
    </xdr:from>
    <xdr:to>
      <xdr:col>12</xdr:col>
      <xdr:colOff>123825</xdr:colOff>
      <xdr:row>2</xdr:row>
      <xdr:rowOff>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2FD598D0-61AE-4BDF-B94A-4747D1B874A6}"/>
            </a:ext>
          </a:extLst>
        </xdr:cNvPr>
        <xdr:cNvSpPr/>
      </xdr:nvSpPr>
      <xdr:spPr>
        <a:xfrm>
          <a:off x="5930409" y="131886"/>
          <a:ext cx="2413491" cy="2491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0">
              <a:solidFill>
                <a:sysClr val="windowText" lastClr="000000"/>
              </a:solidFill>
              <a:latin typeface="Bahnschrift SemiBold Condensed" panose="020B0502040204020203" pitchFamily="34" charset="0"/>
            </a:rPr>
            <a:t>Dashboard For the Month of</a:t>
          </a:r>
        </a:p>
      </xdr:txBody>
    </xdr:sp>
    <xdr:clientData/>
  </xdr:twoCellAnchor>
  <xdr:twoCellAnchor>
    <xdr:from>
      <xdr:col>11</xdr:col>
      <xdr:colOff>219074</xdr:colOff>
      <xdr:row>0</xdr:row>
      <xdr:rowOff>109971</xdr:rowOff>
    </xdr:from>
    <xdr:to>
      <xdr:col>15</xdr:col>
      <xdr:colOff>180974</xdr:colOff>
      <xdr:row>1</xdr:row>
      <xdr:rowOff>181841</xdr:rowOff>
    </xdr:to>
    <xdr:sp macro="" textlink="$I$4">
      <xdr:nvSpPr>
        <xdr:cNvPr id="23" name="Rectangle 22">
          <a:extLst>
            <a:ext uri="{FF2B5EF4-FFF2-40B4-BE49-F238E27FC236}">
              <a16:creationId xmlns:a16="http://schemas.microsoft.com/office/drawing/2014/main" id="{ED762141-D8BD-4267-9060-0CB7CA73D0FF}"/>
            </a:ext>
          </a:extLst>
        </xdr:cNvPr>
        <xdr:cNvSpPr/>
      </xdr:nvSpPr>
      <xdr:spPr>
        <a:xfrm>
          <a:off x="8048624" y="109971"/>
          <a:ext cx="1628775" cy="2623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BB569BB-9BB2-4291-BB2C-506B0E15CC47}" type="TxLink">
            <a:rPr lang="en-US" sz="1800" b="1" i="0" u="none" strike="noStrike">
              <a:solidFill>
                <a:srgbClr val="7030A0"/>
              </a:solidFill>
              <a:latin typeface="Bell MT" panose="02020503060305020303" pitchFamily="18" charset="0"/>
              <a:ea typeface="Calibri"/>
              <a:cs typeface="Calibri"/>
            </a:rPr>
            <a:pPr algn="ctr"/>
            <a:t>June</a:t>
          </a:fld>
          <a:endParaRPr lang="en-US" sz="1800" b="1">
            <a:solidFill>
              <a:srgbClr val="7030A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29</xdr:col>
      <xdr:colOff>142854</xdr:colOff>
      <xdr:row>0</xdr:row>
      <xdr:rowOff>83343</xdr:rowOff>
    </xdr:from>
    <xdr:to>
      <xdr:col>30</xdr:col>
      <xdr:colOff>71417</xdr:colOff>
      <xdr:row>2</xdr:row>
      <xdr:rowOff>23812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C9A253D-6D6A-4E78-B0D0-67A07506BA7D}"/>
            </a:ext>
          </a:extLst>
        </xdr:cNvPr>
        <xdr:cNvSpPr/>
      </xdr:nvSpPr>
      <xdr:spPr>
        <a:xfrm>
          <a:off x="15335229" y="83343"/>
          <a:ext cx="385763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</a:t>
          </a:r>
        </a:p>
      </xdr:txBody>
    </xdr:sp>
    <xdr:clientData/>
  </xdr:twoCellAnchor>
  <xdr:twoCellAnchor>
    <xdr:from>
      <xdr:col>30</xdr:col>
      <xdr:colOff>47605</xdr:colOff>
      <xdr:row>0</xdr:row>
      <xdr:rowOff>95250</xdr:rowOff>
    </xdr:from>
    <xdr:to>
      <xdr:col>32</xdr:col>
      <xdr:colOff>226198</xdr:colOff>
      <xdr:row>2</xdr:row>
      <xdr:rowOff>11906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ED03A5B-526E-4A54-9EDB-E715D67CF3E5}"/>
            </a:ext>
          </a:extLst>
        </xdr:cNvPr>
        <xdr:cNvSpPr/>
      </xdr:nvSpPr>
      <xdr:spPr>
        <a:xfrm>
          <a:off x="15697180" y="95250"/>
          <a:ext cx="902493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PRESENT</a:t>
          </a:r>
        </a:p>
      </xdr:txBody>
    </xdr:sp>
    <xdr:clientData/>
  </xdr:twoCellAnchor>
  <xdr:twoCellAnchor>
    <xdr:from>
      <xdr:col>32</xdr:col>
      <xdr:colOff>390507</xdr:colOff>
      <xdr:row>0</xdr:row>
      <xdr:rowOff>80963</xdr:rowOff>
    </xdr:from>
    <xdr:to>
      <xdr:col>33</xdr:col>
      <xdr:colOff>378600</xdr:colOff>
      <xdr:row>2</xdr:row>
      <xdr:rowOff>21432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305E09B-EE26-4BF5-8C21-6B63DC5E2BC1}"/>
            </a:ext>
          </a:extLst>
        </xdr:cNvPr>
        <xdr:cNvSpPr/>
      </xdr:nvSpPr>
      <xdr:spPr>
        <a:xfrm>
          <a:off x="16763982" y="80963"/>
          <a:ext cx="378618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🔴</a:t>
          </a:r>
        </a:p>
      </xdr:txBody>
    </xdr:sp>
    <xdr:clientData/>
  </xdr:twoCellAnchor>
  <xdr:twoCellAnchor>
    <xdr:from>
      <xdr:col>33</xdr:col>
      <xdr:colOff>354788</xdr:colOff>
      <xdr:row>0</xdr:row>
      <xdr:rowOff>92870</xdr:rowOff>
    </xdr:from>
    <xdr:to>
      <xdr:col>35</xdr:col>
      <xdr:colOff>378600</xdr:colOff>
      <xdr:row>2</xdr:row>
      <xdr:rowOff>9526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8FFA1911-7D36-483F-9D2C-B1E1D4F8C608}"/>
            </a:ext>
          </a:extLst>
        </xdr:cNvPr>
        <xdr:cNvSpPr/>
      </xdr:nvSpPr>
      <xdr:spPr>
        <a:xfrm>
          <a:off x="17118788" y="92870"/>
          <a:ext cx="890587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ABSENT</a:t>
          </a:r>
        </a:p>
      </xdr:txBody>
    </xdr:sp>
    <xdr:clientData/>
  </xdr:twoCellAnchor>
  <xdr:twoCellAnchor>
    <xdr:from>
      <xdr:col>36</xdr:col>
      <xdr:colOff>66656</xdr:colOff>
      <xdr:row>0</xdr:row>
      <xdr:rowOff>78581</xdr:rowOff>
    </xdr:from>
    <xdr:to>
      <xdr:col>36</xdr:col>
      <xdr:colOff>447656</xdr:colOff>
      <xdr:row>2</xdr:row>
      <xdr:rowOff>19050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A3D432E-AE9B-4307-B60E-B7DD436B6F60}"/>
            </a:ext>
          </a:extLst>
        </xdr:cNvPr>
        <xdr:cNvSpPr/>
      </xdr:nvSpPr>
      <xdr:spPr>
        <a:xfrm>
          <a:off x="18107006" y="78581"/>
          <a:ext cx="381000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36</xdr:col>
      <xdr:colOff>423844</xdr:colOff>
      <xdr:row>0</xdr:row>
      <xdr:rowOff>90488</xdr:rowOff>
    </xdr:from>
    <xdr:to>
      <xdr:col>39</xdr:col>
      <xdr:colOff>149999</xdr:colOff>
      <xdr:row>2</xdr:row>
      <xdr:rowOff>7144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BC3FC0B-1CB4-4F9D-96E9-5896EB090C6F}"/>
            </a:ext>
          </a:extLst>
        </xdr:cNvPr>
        <xdr:cNvSpPr/>
      </xdr:nvSpPr>
      <xdr:spPr>
        <a:xfrm>
          <a:off x="18464194" y="90488"/>
          <a:ext cx="897730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LEAVE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272143</xdr:colOff>
      <xdr:row>0</xdr:row>
      <xdr:rowOff>4948</xdr:rowOff>
    </xdr:from>
    <xdr:to>
      <xdr:col>40</xdr:col>
      <xdr:colOff>13607</xdr:colOff>
      <xdr:row>2</xdr:row>
      <xdr:rowOff>72984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C0DC99D-58D1-4E7F-A891-931425D69741}"/>
            </a:ext>
          </a:extLst>
        </xdr:cNvPr>
        <xdr:cNvSpPr/>
      </xdr:nvSpPr>
      <xdr:spPr>
        <a:xfrm>
          <a:off x="1491343" y="4948"/>
          <a:ext cx="18115189" cy="449036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2</xdr:rowOff>
    </xdr:from>
    <xdr:to>
      <xdr:col>2</xdr:col>
      <xdr:colOff>304799</xdr:colOff>
      <xdr:row>36</xdr:row>
      <xdr:rowOff>27214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61E9829-989E-4D1D-9573-A9BD0819619B}"/>
            </a:ext>
          </a:extLst>
        </xdr:cNvPr>
        <xdr:cNvSpPr/>
      </xdr:nvSpPr>
      <xdr:spPr>
        <a:xfrm>
          <a:off x="0" y="2"/>
          <a:ext cx="1523999" cy="691378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59872</xdr:rowOff>
    </xdr:from>
    <xdr:to>
      <xdr:col>2</xdr:col>
      <xdr:colOff>583746</xdr:colOff>
      <xdr:row>7</xdr:row>
      <xdr:rowOff>57150</xdr:rowOff>
    </xdr:to>
    <xdr:sp macro="" textlink="">
      <xdr:nvSpPr>
        <xdr:cNvPr id="4" name="Rectangle: Diagonal Corners Rounded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433795-143A-4994-AB8C-C098F814FBB0}"/>
            </a:ext>
          </a:extLst>
        </xdr:cNvPr>
        <xdr:cNvSpPr/>
      </xdr:nvSpPr>
      <xdr:spPr>
        <a:xfrm>
          <a:off x="0" y="1021897"/>
          <a:ext cx="1802946" cy="387803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7</xdr:row>
      <xdr:rowOff>185057</xdr:rowOff>
    </xdr:from>
    <xdr:to>
      <xdr:col>2</xdr:col>
      <xdr:colOff>583746</xdr:colOff>
      <xdr:row>9</xdr:row>
      <xdr:rowOff>182335</xdr:rowOff>
    </xdr:to>
    <xdr:sp macro="" textlink="">
      <xdr:nvSpPr>
        <xdr:cNvPr id="5" name="Rectangle: Diagonal Corners Rounded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DC2F95-0286-41C5-9938-B45DBF256725}"/>
            </a:ext>
          </a:extLst>
        </xdr:cNvPr>
        <xdr:cNvSpPr/>
      </xdr:nvSpPr>
      <xdr:spPr>
        <a:xfrm>
          <a:off x="0" y="1537607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10</xdr:row>
      <xdr:rowOff>92529</xdr:rowOff>
    </xdr:from>
    <xdr:to>
      <xdr:col>2</xdr:col>
      <xdr:colOff>583746</xdr:colOff>
      <xdr:row>12</xdr:row>
      <xdr:rowOff>89807</xdr:rowOff>
    </xdr:to>
    <xdr:sp macro="" textlink="">
      <xdr:nvSpPr>
        <xdr:cNvPr id="6" name="Rectangle: Diagonal Corners Rounded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B19A819-0E99-47BA-B00E-F4556EF88EEE}"/>
            </a:ext>
          </a:extLst>
        </xdr:cNvPr>
        <xdr:cNvSpPr/>
      </xdr:nvSpPr>
      <xdr:spPr>
        <a:xfrm>
          <a:off x="0" y="20165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2721</xdr:colOff>
      <xdr:row>13</xdr:row>
      <xdr:rowOff>40822</xdr:rowOff>
    </xdr:from>
    <xdr:to>
      <xdr:col>2</xdr:col>
      <xdr:colOff>586467</xdr:colOff>
      <xdr:row>15</xdr:row>
      <xdr:rowOff>38100</xdr:rowOff>
    </xdr:to>
    <xdr:sp macro="" textlink="">
      <xdr:nvSpPr>
        <xdr:cNvPr id="7" name="Rectangle: Diagonal Corners Rounded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F8EF3F1-37E5-471A-93AF-C66411E7F2C4}"/>
            </a:ext>
          </a:extLst>
        </xdr:cNvPr>
        <xdr:cNvSpPr/>
      </xdr:nvSpPr>
      <xdr:spPr>
        <a:xfrm>
          <a:off x="2721" y="2536372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16</xdr:row>
      <xdr:rowOff>2721</xdr:rowOff>
    </xdr:from>
    <xdr:to>
      <xdr:col>2</xdr:col>
      <xdr:colOff>583746</xdr:colOff>
      <xdr:row>17</xdr:row>
      <xdr:rowOff>190499</xdr:rowOff>
    </xdr:to>
    <xdr:sp macro="" textlink="">
      <xdr:nvSpPr>
        <xdr:cNvPr id="8" name="Rectangle: Diagonal Corners Rounded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ABDDFC-3D6D-4189-A46E-A1F1425EBB6F}"/>
            </a:ext>
          </a:extLst>
        </xdr:cNvPr>
        <xdr:cNvSpPr/>
      </xdr:nvSpPr>
      <xdr:spPr>
        <a:xfrm>
          <a:off x="0" y="306977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JUNE</a:t>
          </a:r>
          <a:endParaRPr lang="en-US" sz="1100"/>
        </a:p>
      </xdr:txBody>
    </xdr:sp>
    <xdr:clientData/>
  </xdr:twoCellAnchor>
  <xdr:twoCellAnchor>
    <xdr:from>
      <xdr:col>1</xdr:col>
      <xdr:colOff>95250</xdr:colOff>
      <xdr:row>18</xdr:row>
      <xdr:rowOff>168729</xdr:rowOff>
    </xdr:from>
    <xdr:to>
      <xdr:col>4</xdr:col>
      <xdr:colOff>71778</xdr:colOff>
      <xdr:row>20</xdr:row>
      <xdr:rowOff>166007</xdr:rowOff>
    </xdr:to>
    <xdr:sp macro="" textlink="">
      <xdr:nvSpPr>
        <xdr:cNvPr id="9" name="Rectangle: Diagonal Corners Rounded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30B8DEF-F414-4F11-BB09-AEE6B3FF464E}"/>
            </a:ext>
          </a:extLst>
        </xdr:cNvPr>
        <xdr:cNvSpPr/>
      </xdr:nvSpPr>
      <xdr:spPr>
        <a:xfrm>
          <a:off x="702469" y="3621542"/>
          <a:ext cx="1798184" cy="378278"/>
        </a:xfrm>
        <a:prstGeom prst="round2Diag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noProof="0">
              <a:solidFill>
                <a:sysClr val="windowText" lastClr="000000"/>
              </a:solidFill>
              <a:latin typeface="Georgia" panose="02040502050405020303" pitchFamily="18" charset="0"/>
              <a:ea typeface="+mn-ea"/>
              <a:cs typeface="+mn-cs"/>
            </a:rPr>
            <a:t>JULY</a:t>
          </a:r>
          <a:endParaRPr lang="en-US" sz="1100" b="1">
            <a:solidFill>
              <a:sysClr val="windowText" lastClr="000000"/>
            </a:solidFill>
            <a:latin typeface="Georgia" panose="020405020504050203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21</xdr:row>
      <xdr:rowOff>125186</xdr:rowOff>
    </xdr:from>
    <xdr:to>
      <xdr:col>2</xdr:col>
      <xdr:colOff>583746</xdr:colOff>
      <xdr:row>23</xdr:row>
      <xdr:rowOff>122464</xdr:rowOff>
    </xdr:to>
    <xdr:sp macro="" textlink="">
      <xdr:nvSpPr>
        <xdr:cNvPr id="10" name="Rectangle: Diagonal Corners Rounded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339679C-D7BF-43BD-977D-9C5539A1C1E7}"/>
            </a:ext>
          </a:extLst>
        </xdr:cNvPr>
        <xdr:cNvSpPr/>
      </xdr:nvSpPr>
      <xdr:spPr>
        <a:xfrm>
          <a:off x="0" y="4144736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24</xdr:row>
      <xdr:rowOff>73480</xdr:rowOff>
    </xdr:from>
    <xdr:to>
      <xdr:col>2</xdr:col>
      <xdr:colOff>583746</xdr:colOff>
      <xdr:row>26</xdr:row>
      <xdr:rowOff>70758</xdr:rowOff>
    </xdr:to>
    <xdr:sp macro="" textlink="">
      <xdr:nvSpPr>
        <xdr:cNvPr id="11" name="Rectangle: Diagonal Corners Rounded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DF890FB-461B-4B25-AB70-C66014395232}"/>
            </a:ext>
          </a:extLst>
        </xdr:cNvPr>
        <xdr:cNvSpPr/>
      </xdr:nvSpPr>
      <xdr:spPr>
        <a:xfrm>
          <a:off x="0" y="467405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SEPTEMBER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27</xdr:row>
      <xdr:rowOff>8166</xdr:rowOff>
    </xdr:from>
    <xdr:to>
      <xdr:col>2</xdr:col>
      <xdr:colOff>583746</xdr:colOff>
      <xdr:row>29</xdr:row>
      <xdr:rowOff>5444</xdr:rowOff>
    </xdr:to>
    <xdr:sp macro="" textlink="">
      <xdr:nvSpPr>
        <xdr:cNvPr id="12" name="Rectangle: Diagonal Corners Rounded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5BC853A-7974-466C-98E3-2E84F9114FBF}"/>
            </a:ext>
          </a:extLst>
        </xdr:cNvPr>
        <xdr:cNvSpPr/>
      </xdr:nvSpPr>
      <xdr:spPr>
        <a:xfrm>
          <a:off x="0" y="518024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29</xdr:row>
      <xdr:rowOff>160564</xdr:rowOff>
    </xdr:from>
    <xdr:to>
      <xdr:col>2</xdr:col>
      <xdr:colOff>583746</xdr:colOff>
      <xdr:row>31</xdr:row>
      <xdr:rowOff>157842</xdr:rowOff>
    </xdr:to>
    <xdr:sp macro="" textlink="">
      <xdr:nvSpPr>
        <xdr:cNvPr id="13" name="Rectangle: Diagonal Corners Rounded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D6741B3-FBC1-44CB-B1D1-80646F223BEA}"/>
            </a:ext>
          </a:extLst>
        </xdr:cNvPr>
        <xdr:cNvSpPr/>
      </xdr:nvSpPr>
      <xdr:spPr>
        <a:xfrm>
          <a:off x="0" y="571363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32</xdr:row>
      <xdr:rowOff>95250</xdr:rowOff>
    </xdr:from>
    <xdr:to>
      <xdr:col>2</xdr:col>
      <xdr:colOff>583746</xdr:colOff>
      <xdr:row>34</xdr:row>
      <xdr:rowOff>92528</xdr:rowOff>
    </xdr:to>
    <xdr:sp macro="" textlink="">
      <xdr:nvSpPr>
        <xdr:cNvPr id="14" name="Rectangle: Diagonal Corners Rounded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C4BC8D8-675C-4167-A02C-CAF4A071A772}"/>
            </a:ext>
          </a:extLst>
        </xdr:cNvPr>
        <xdr:cNvSpPr/>
      </xdr:nvSpPr>
      <xdr:spPr>
        <a:xfrm>
          <a:off x="0" y="621982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DECEMBER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2</xdr:col>
      <xdr:colOff>578642</xdr:colOff>
      <xdr:row>4</xdr:row>
      <xdr:rowOff>149679</xdr:rowOff>
    </xdr:to>
    <xdr:sp macro="" textlink="">
      <xdr:nvSpPr>
        <xdr:cNvPr id="15" name="Rectangle: Diagonal Corners Rounded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BB6A617-4B74-4112-82E0-294E912D582B}"/>
            </a:ext>
          </a:extLst>
        </xdr:cNvPr>
        <xdr:cNvSpPr/>
      </xdr:nvSpPr>
      <xdr:spPr>
        <a:xfrm>
          <a:off x="0" y="533401"/>
          <a:ext cx="1793080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0" lang="en-US" sz="11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43</xdr:col>
      <xdr:colOff>591912</xdr:colOff>
      <xdr:row>0</xdr:row>
      <xdr:rowOff>0</xdr:rowOff>
    </xdr:from>
    <xdr:to>
      <xdr:col>58</xdr:col>
      <xdr:colOff>23813</xdr:colOff>
      <xdr:row>2</xdr:row>
      <xdr:rowOff>68036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82603E1-B4CA-453A-98DE-99D0C75F175C}"/>
            </a:ext>
          </a:extLst>
        </xdr:cNvPr>
        <xdr:cNvSpPr/>
      </xdr:nvSpPr>
      <xdr:spPr>
        <a:xfrm>
          <a:off x="22013637" y="0"/>
          <a:ext cx="11823926" cy="44903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chemeClr val="tx1"/>
              </a:solidFill>
              <a:latin typeface="Bell MT" panose="02020503060305020303" pitchFamily="18" charset="0"/>
            </a:rPr>
            <a:t>Monthly Reports</a:t>
          </a:r>
        </a:p>
      </xdr:txBody>
    </xdr:sp>
    <xdr:clientData/>
  </xdr:twoCellAnchor>
  <xdr:twoCellAnchor>
    <xdr:from>
      <xdr:col>2</xdr:col>
      <xdr:colOff>300404</xdr:colOff>
      <xdr:row>0</xdr:row>
      <xdr:rowOff>143791</xdr:rowOff>
    </xdr:from>
    <xdr:to>
      <xdr:col>3</xdr:col>
      <xdr:colOff>365432</xdr:colOff>
      <xdr:row>1</xdr:row>
      <xdr:rowOff>155697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F573813-C243-4065-9616-387B48F49559}"/>
            </a:ext>
          </a:extLst>
        </xdr:cNvPr>
        <xdr:cNvSpPr/>
      </xdr:nvSpPr>
      <xdr:spPr>
        <a:xfrm>
          <a:off x="1519604" y="143791"/>
          <a:ext cx="674628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From</a:t>
          </a:r>
        </a:p>
      </xdr:txBody>
    </xdr:sp>
    <xdr:clientData/>
  </xdr:twoCellAnchor>
  <xdr:twoCellAnchor>
    <xdr:from>
      <xdr:col>3</xdr:col>
      <xdr:colOff>370374</xdr:colOff>
      <xdr:row>0</xdr:row>
      <xdr:rowOff>139212</xdr:rowOff>
    </xdr:from>
    <xdr:to>
      <xdr:col>5</xdr:col>
      <xdr:colOff>216510</xdr:colOff>
      <xdr:row>1</xdr:row>
      <xdr:rowOff>151118</xdr:rowOff>
    </xdr:to>
    <xdr:sp macro="" textlink="$G$4">
      <xdr:nvSpPr>
        <xdr:cNvPr id="18" name="Rectangle 17">
          <a:extLst>
            <a:ext uri="{FF2B5EF4-FFF2-40B4-BE49-F238E27FC236}">
              <a16:creationId xmlns:a16="http://schemas.microsoft.com/office/drawing/2014/main" id="{6BA59E87-0820-4B3D-B308-597CA60E9C0B}"/>
            </a:ext>
          </a:extLst>
        </xdr:cNvPr>
        <xdr:cNvSpPr/>
      </xdr:nvSpPr>
      <xdr:spPr>
        <a:xfrm>
          <a:off x="2199174" y="139212"/>
          <a:ext cx="1065336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AF7FD6A-326D-4FD2-93D5-C10684C050A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1-Jul-2026</a:t>
          </a:fld>
          <a:endParaRPr lang="en-US" sz="1100"/>
        </a:p>
      </xdr:txBody>
    </xdr:sp>
    <xdr:clientData/>
  </xdr:twoCellAnchor>
  <xdr:twoCellAnchor>
    <xdr:from>
      <xdr:col>5</xdr:col>
      <xdr:colOff>328246</xdr:colOff>
      <xdr:row>0</xdr:row>
      <xdr:rowOff>149653</xdr:rowOff>
    </xdr:from>
    <xdr:to>
      <xdr:col>6</xdr:col>
      <xdr:colOff>451890</xdr:colOff>
      <xdr:row>1</xdr:row>
      <xdr:rowOff>161559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B1D75FD-2C19-4E5E-B666-278FC563168C}"/>
            </a:ext>
          </a:extLst>
        </xdr:cNvPr>
        <xdr:cNvSpPr/>
      </xdr:nvSpPr>
      <xdr:spPr>
        <a:xfrm>
          <a:off x="3376246" y="149653"/>
          <a:ext cx="676094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To</a:t>
          </a:r>
        </a:p>
      </xdr:txBody>
    </xdr:sp>
    <xdr:clientData/>
  </xdr:twoCellAnchor>
  <xdr:twoCellAnchor>
    <xdr:from>
      <xdr:col>6</xdr:col>
      <xdr:colOff>456832</xdr:colOff>
      <xdr:row>0</xdr:row>
      <xdr:rowOff>147272</xdr:rowOff>
    </xdr:from>
    <xdr:to>
      <xdr:col>7</xdr:col>
      <xdr:colOff>537429</xdr:colOff>
      <xdr:row>1</xdr:row>
      <xdr:rowOff>159178</xdr:rowOff>
    </xdr:to>
    <xdr:sp macro="" textlink="$K$4">
      <xdr:nvSpPr>
        <xdr:cNvPr id="20" name="Rectangle 19">
          <a:extLst>
            <a:ext uri="{FF2B5EF4-FFF2-40B4-BE49-F238E27FC236}">
              <a16:creationId xmlns:a16="http://schemas.microsoft.com/office/drawing/2014/main" id="{F3CC5645-6D18-4F8F-B1CB-29D22DFE5050}"/>
            </a:ext>
          </a:extLst>
        </xdr:cNvPr>
        <xdr:cNvSpPr/>
      </xdr:nvSpPr>
      <xdr:spPr>
        <a:xfrm>
          <a:off x="4057282" y="147272"/>
          <a:ext cx="1061672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F40C6E-C0CB-4AF1-BD78-7DC7EA8C2F5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31-Jul-2026</a:t>
          </a:fld>
          <a:endParaRPr lang="en-US" sz="1100"/>
        </a:p>
      </xdr:txBody>
    </xdr:sp>
    <xdr:clientData/>
  </xdr:twoCellAnchor>
  <xdr:twoCellAnchor>
    <xdr:from>
      <xdr:col>7</xdr:col>
      <xdr:colOff>1128346</xdr:colOff>
      <xdr:row>0</xdr:row>
      <xdr:rowOff>109904</xdr:rowOff>
    </xdr:from>
    <xdr:to>
      <xdr:col>15</xdr:col>
      <xdr:colOff>314325</xdr:colOff>
      <xdr:row>2</xdr:row>
      <xdr:rowOff>14654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7E6D1E57-AAED-4F61-8C92-776A133F648E}"/>
            </a:ext>
          </a:extLst>
        </xdr:cNvPr>
        <xdr:cNvSpPr/>
      </xdr:nvSpPr>
      <xdr:spPr>
        <a:xfrm>
          <a:off x="5709871" y="109904"/>
          <a:ext cx="4100879" cy="2857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1348884</xdr:colOff>
      <xdr:row>0</xdr:row>
      <xdr:rowOff>131886</xdr:rowOff>
    </xdr:from>
    <xdr:to>
      <xdr:col>12</xdr:col>
      <xdr:colOff>123825</xdr:colOff>
      <xdr:row>2</xdr:row>
      <xdr:rowOff>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390B68DA-AC37-45C7-9898-1EAB74B12EE7}"/>
            </a:ext>
          </a:extLst>
        </xdr:cNvPr>
        <xdr:cNvSpPr/>
      </xdr:nvSpPr>
      <xdr:spPr>
        <a:xfrm>
          <a:off x="5930409" y="131886"/>
          <a:ext cx="2413491" cy="2491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0">
              <a:solidFill>
                <a:sysClr val="windowText" lastClr="000000"/>
              </a:solidFill>
              <a:latin typeface="Bahnschrift SemiBold Condensed" panose="020B0502040204020203" pitchFamily="34" charset="0"/>
            </a:rPr>
            <a:t>Dashboard For the Month of</a:t>
          </a:r>
        </a:p>
      </xdr:txBody>
    </xdr:sp>
    <xdr:clientData/>
  </xdr:twoCellAnchor>
  <xdr:twoCellAnchor>
    <xdr:from>
      <xdr:col>11</xdr:col>
      <xdr:colOff>219074</xdr:colOff>
      <xdr:row>0</xdr:row>
      <xdr:rowOff>109971</xdr:rowOff>
    </xdr:from>
    <xdr:to>
      <xdr:col>15</xdr:col>
      <xdr:colOff>180974</xdr:colOff>
      <xdr:row>1</xdr:row>
      <xdr:rowOff>181841</xdr:rowOff>
    </xdr:to>
    <xdr:sp macro="" textlink="$I$4">
      <xdr:nvSpPr>
        <xdr:cNvPr id="23" name="Rectangle 22">
          <a:extLst>
            <a:ext uri="{FF2B5EF4-FFF2-40B4-BE49-F238E27FC236}">
              <a16:creationId xmlns:a16="http://schemas.microsoft.com/office/drawing/2014/main" id="{20AF8BC9-48E3-431F-A96F-9ADDC1DDA248}"/>
            </a:ext>
          </a:extLst>
        </xdr:cNvPr>
        <xdr:cNvSpPr/>
      </xdr:nvSpPr>
      <xdr:spPr>
        <a:xfrm>
          <a:off x="8048624" y="109971"/>
          <a:ext cx="1628775" cy="2623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BB569BB-9BB2-4291-BB2C-506B0E15CC47}" type="TxLink">
            <a:rPr lang="en-US" sz="1800" b="1" i="0" u="none" strike="noStrike">
              <a:solidFill>
                <a:srgbClr val="7030A0"/>
              </a:solidFill>
              <a:latin typeface="Bell MT" panose="02020503060305020303" pitchFamily="18" charset="0"/>
              <a:ea typeface="Calibri"/>
              <a:cs typeface="Calibri"/>
            </a:rPr>
            <a:pPr algn="ctr"/>
            <a:t>July</a:t>
          </a:fld>
          <a:endParaRPr lang="en-US" sz="1800" b="1">
            <a:solidFill>
              <a:srgbClr val="7030A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29</xdr:col>
      <xdr:colOff>142854</xdr:colOff>
      <xdr:row>0</xdr:row>
      <xdr:rowOff>83343</xdr:rowOff>
    </xdr:from>
    <xdr:to>
      <xdr:col>30</xdr:col>
      <xdr:colOff>71417</xdr:colOff>
      <xdr:row>2</xdr:row>
      <xdr:rowOff>23812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9F44CE3-1A00-4E23-920B-3D7735BD8A40}"/>
            </a:ext>
          </a:extLst>
        </xdr:cNvPr>
        <xdr:cNvSpPr/>
      </xdr:nvSpPr>
      <xdr:spPr>
        <a:xfrm>
          <a:off x="15335229" y="83343"/>
          <a:ext cx="385763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</a:t>
          </a:r>
        </a:p>
      </xdr:txBody>
    </xdr:sp>
    <xdr:clientData/>
  </xdr:twoCellAnchor>
  <xdr:twoCellAnchor>
    <xdr:from>
      <xdr:col>30</xdr:col>
      <xdr:colOff>47605</xdr:colOff>
      <xdr:row>0</xdr:row>
      <xdr:rowOff>95250</xdr:rowOff>
    </xdr:from>
    <xdr:to>
      <xdr:col>32</xdr:col>
      <xdr:colOff>226198</xdr:colOff>
      <xdr:row>2</xdr:row>
      <xdr:rowOff>11906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E4BBC523-C7C6-4DF1-91DB-1361E9595563}"/>
            </a:ext>
          </a:extLst>
        </xdr:cNvPr>
        <xdr:cNvSpPr/>
      </xdr:nvSpPr>
      <xdr:spPr>
        <a:xfrm>
          <a:off x="15697180" y="95250"/>
          <a:ext cx="902493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PRESENT</a:t>
          </a:r>
        </a:p>
      </xdr:txBody>
    </xdr:sp>
    <xdr:clientData/>
  </xdr:twoCellAnchor>
  <xdr:twoCellAnchor>
    <xdr:from>
      <xdr:col>32</xdr:col>
      <xdr:colOff>390507</xdr:colOff>
      <xdr:row>0</xdr:row>
      <xdr:rowOff>80963</xdr:rowOff>
    </xdr:from>
    <xdr:to>
      <xdr:col>33</xdr:col>
      <xdr:colOff>378600</xdr:colOff>
      <xdr:row>2</xdr:row>
      <xdr:rowOff>21432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CB4C08D-1D05-48D5-AB85-759EDE4FA6E6}"/>
            </a:ext>
          </a:extLst>
        </xdr:cNvPr>
        <xdr:cNvSpPr/>
      </xdr:nvSpPr>
      <xdr:spPr>
        <a:xfrm>
          <a:off x="16763982" y="80963"/>
          <a:ext cx="378618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🔴</a:t>
          </a:r>
        </a:p>
      </xdr:txBody>
    </xdr:sp>
    <xdr:clientData/>
  </xdr:twoCellAnchor>
  <xdr:twoCellAnchor>
    <xdr:from>
      <xdr:col>33</xdr:col>
      <xdr:colOff>354788</xdr:colOff>
      <xdr:row>0</xdr:row>
      <xdr:rowOff>92870</xdr:rowOff>
    </xdr:from>
    <xdr:to>
      <xdr:col>35</xdr:col>
      <xdr:colOff>378600</xdr:colOff>
      <xdr:row>2</xdr:row>
      <xdr:rowOff>9526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FB34DD2-7F27-4CF9-B7EF-61198D4726FD}"/>
            </a:ext>
          </a:extLst>
        </xdr:cNvPr>
        <xdr:cNvSpPr/>
      </xdr:nvSpPr>
      <xdr:spPr>
        <a:xfrm>
          <a:off x="17118788" y="92870"/>
          <a:ext cx="890587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ABSENT</a:t>
          </a:r>
        </a:p>
      </xdr:txBody>
    </xdr:sp>
    <xdr:clientData/>
  </xdr:twoCellAnchor>
  <xdr:twoCellAnchor>
    <xdr:from>
      <xdr:col>36</xdr:col>
      <xdr:colOff>66656</xdr:colOff>
      <xdr:row>0</xdr:row>
      <xdr:rowOff>78581</xdr:rowOff>
    </xdr:from>
    <xdr:to>
      <xdr:col>36</xdr:col>
      <xdr:colOff>447656</xdr:colOff>
      <xdr:row>2</xdr:row>
      <xdr:rowOff>19050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604E8A1-2B2D-492C-A7FB-7F6A0FA73ACB}"/>
            </a:ext>
          </a:extLst>
        </xdr:cNvPr>
        <xdr:cNvSpPr/>
      </xdr:nvSpPr>
      <xdr:spPr>
        <a:xfrm>
          <a:off x="18107006" y="78581"/>
          <a:ext cx="381000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36</xdr:col>
      <xdr:colOff>423844</xdr:colOff>
      <xdr:row>0</xdr:row>
      <xdr:rowOff>90488</xdr:rowOff>
    </xdr:from>
    <xdr:to>
      <xdr:col>39</xdr:col>
      <xdr:colOff>149999</xdr:colOff>
      <xdr:row>2</xdr:row>
      <xdr:rowOff>7144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6B95DEC4-32A2-4610-9098-4629C54C04EE}"/>
            </a:ext>
          </a:extLst>
        </xdr:cNvPr>
        <xdr:cNvSpPr/>
      </xdr:nvSpPr>
      <xdr:spPr>
        <a:xfrm>
          <a:off x="18464194" y="90488"/>
          <a:ext cx="897730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LEAVE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272143</xdr:colOff>
      <xdr:row>0</xdr:row>
      <xdr:rowOff>4948</xdr:rowOff>
    </xdr:from>
    <xdr:to>
      <xdr:col>40</xdr:col>
      <xdr:colOff>13607</xdr:colOff>
      <xdr:row>2</xdr:row>
      <xdr:rowOff>72984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D733B96-C244-4499-8716-3C2E3E89AB8C}"/>
            </a:ext>
          </a:extLst>
        </xdr:cNvPr>
        <xdr:cNvSpPr/>
      </xdr:nvSpPr>
      <xdr:spPr>
        <a:xfrm>
          <a:off x="1491343" y="4948"/>
          <a:ext cx="18115189" cy="449036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2</xdr:rowOff>
    </xdr:from>
    <xdr:to>
      <xdr:col>2</xdr:col>
      <xdr:colOff>304799</xdr:colOff>
      <xdr:row>36</xdr:row>
      <xdr:rowOff>27214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9AD0EAF-9621-4D5C-81CE-BE0C1820F332}"/>
            </a:ext>
          </a:extLst>
        </xdr:cNvPr>
        <xdr:cNvSpPr/>
      </xdr:nvSpPr>
      <xdr:spPr>
        <a:xfrm>
          <a:off x="0" y="2"/>
          <a:ext cx="1523999" cy="691378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59872</xdr:rowOff>
    </xdr:from>
    <xdr:to>
      <xdr:col>2</xdr:col>
      <xdr:colOff>583746</xdr:colOff>
      <xdr:row>7</xdr:row>
      <xdr:rowOff>57150</xdr:rowOff>
    </xdr:to>
    <xdr:sp macro="" textlink="">
      <xdr:nvSpPr>
        <xdr:cNvPr id="4" name="Rectangle: Diagonal Corners Rounded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49C468-2D0D-427E-9D64-F919BE03122D}"/>
            </a:ext>
          </a:extLst>
        </xdr:cNvPr>
        <xdr:cNvSpPr/>
      </xdr:nvSpPr>
      <xdr:spPr>
        <a:xfrm>
          <a:off x="0" y="1021897"/>
          <a:ext cx="1802946" cy="387803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7</xdr:row>
      <xdr:rowOff>185057</xdr:rowOff>
    </xdr:from>
    <xdr:to>
      <xdr:col>2</xdr:col>
      <xdr:colOff>583746</xdr:colOff>
      <xdr:row>9</xdr:row>
      <xdr:rowOff>182335</xdr:rowOff>
    </xdr:to>
    <xdr:sp macro="" textlink="">
      <xdr:nvSpPr>
        <xdr:cNvPr id="5" name="Rectangle: Diagonal Corners Rounded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488DC1-19E4-4203-BC01-299E87F6C162}"/>
            </a:ext>
          </a:extLst>
        </xdr:cNvPr>
        <xdr:cNvSpPr/>
      </xdr:nvSpPr>
      <xdr:spPr>
        <a:xfrm>
          <a:off x="0" y="1537607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10</xdr:row>
      <xdr:rowOff>92529</xdr:rowOff>
    </xdr:from>
    <xdr:to>
      <xdr:col>2</xdr:col>
      <xdr:colOff>583746</xdr:colOff>
      <xdr:row>12</xdr:row>
      <xdr:rowOff>89807</xdr:rowOff>
    </xdr:to>
    <xdr:sp macro="" textlink="">
      <xdr:nvSpPr>
        <xdr:cNvPr id="6" name="Rectangle: Diagonal Corners Rounded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358A374-A919-4CAF-B163-E08FA77D92D5}"/>
            </a:ext>
          </a:extLst>
        </xdr:cNvPr>
        <xdr:cNvSpPr/>
      </xdr:nvSpPr>
      <xdr:spPr>
        <a:xfrm>
          <a:off x="0" y="20165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2721</xdr:colOff>
      <xdr:row>13</xdr:row>
      <xdr:rowOff>40822</xdr:rowOff>
    </xdr:from>
    <xdr:to>
      <xdr:col>2</xdr:col>
      <xdr:colOff>586467</xdr:colOff>
      <xdr:row>15</xdr:row>
      <xdr:rowOff>38100</xdr:rowOff>
    </xdr:to>
    <xdr:sp macro="" textlink="">
      <xdr:nvSpPr>
        <xdr:cNvPr id="7" name="Rectangle: Diagonal Corners Rounded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8846E16-463D-449F-9A44-3D3BBE9B1D53}"/>
            </a:ext>
          </a:extLst>
        </xdr:cNvPr>
        <xdr:cNvSpPr/>
      </xdr:nvSpPr>
      <xdr:spPr>
        <a:xfrm>
          <a:off x="2721" y="2536372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16</xdr:row>
      <xdr:rowOff>2721</xdr:rowOff>
    </xdr:from>
    <xdr:to>
      <xdr:col>2</xdr:col>
      <xdr:colOff>583746</xdr:colOff>
      <xdr:row>17</xdr:row>
      <xdr:rowOff>190499</xdr:rowOff>
    </xdr:to>
    <xdr:sp macro="" textlink="">
      <xdr:nvSpPr>
        <xdr:cNvPr id="8" name="Rectangle: Diagonal Corners Rounded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3A9DBB5-4D2B-4673-BC05-690FA69E3163}"/>
            </a:ext>
          </a:extLst>
        </xdr:cNvPr>
        <xdr:cNvSpPr/>
      </xdr:nvSpPr>
      <xdr:spPr>
        <a:xfrm>
          <a:off x="0" y="306977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18</xdr:row>
      <xdr:rowOff>168729</xdr:rowOff>
    </xdr:from>
    <xdr:to>
      <xdr:col>2</xdr:col>
      <xdr:colOff>583746</xdr:colOff>
      <xdr:row>20</xdr:row>
      <xdr:rowOff>166007</xdr:rowOff>
    </xdr:to>
    <xdr:sp macro="" textlink="">
      <xdr:nvSpPr>
        <xdr:cNvPr id="9" name="Rectangle: Diagonal Corners Rounded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2836154-0BF7-469E-94ED-D6C5993D8E15}"/>
            </a:ext>
          </a:extLst>
        </xdr:cNvPr>
        <xdr:cNvSpPr/>
      </xdr:nvSpPr>
      <xdr:spPr>
        <a:xfrm>
          <a:off x="0" y="36167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JULY</a:t>
          </a:r>
          <a:endParaRPr lang="en-US" sz="1100"/>
        </a:p>
      </xdr:txBody>
    </xdr:sp>
    <xdr:clientData/>
  </xdr:twoCellAnchor>
  <xdr:twoCellAnchor>
    <xdr:from>
      <xdr:col>1</xdr:col>
      <xdr:colOff>95249</xdr:colOff>
      <xdr:row>21</xdr:row>
      <xdr:rowOff>125186</xdr:rowOff>
    </xdr:from>
    <xdr:to>
      <xdr:col>4</xdr:col>
      <xdr:colOff>71777</xdr:colOff>
      <xdr:row>23</xdr:row>
      <xdr:rowOff>122464</xdr:rowOff>
    </xdr:to>
    <xdr:sp macro="" textlink="">
      <xdr:nvSpPr>
        <xdr:cNvPr id="10" name="Rectangle: Diagonal Corners Rounded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2FF627E-B029-4346-ABEF-2A37DCEC55D1}"/>
            </a:ext>
          </a:extLst>
        </xdr:cNvPr>
        <xdr:cNvSpPr/>
      </xdr:nvSpPr>
      <xdr:spPr>
        <a:xfrm>
          <a:off x="702468" y="4149499"/>
          <a:ext cx="1798184" cy="378278"/>
        </a:xfrm>
        <a:prstGeom prst="round2Diag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noProof="0">
              <a:solidFill>
                <a:sysClr val="windowText" lastClr="000000"/>
              </a:solidFill>
              <a:latin typeface="Georgia" panose="02040502050405020303" pitchFamily="18" charset="0"/>
              <a:ea typeface="+mn-ea"/>
              <a:cs typeface="+mn-cs"/>
            </a:rPr>
            <a:t>AUGUST</a:t>
          </a:r>
          <a:endParaRPr lang="en-US" sz="1100" b="1">
            <a:solidFill>
              <a:sysClr val="windowText" lastClr="000000"/>
            </a:solidFill>
            <a:latin typeface="Georgia" panose="020405020504050203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24</xdr:row>
      <xdr:rowOff>73480</xdr:rowOff>
    </xdr:from>
    <xdr:to>
      <xdr:col>2</xdr:col>
      <xdr:colOff>583746</xdr:colOff>
      <xdr:row>26</xdr:row>
      <xdr:rowOff>70758</xdr:rowOff>
    </xdr:to>
    <xdr:sp macro="" textlink="">
      <xdr:nvSpPr>
        <xdr:cNvPr id="11" name="Rectangle: Diagonal Corners Rounded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735BF80-5F25-4A4F-AB28-A048FA8D8E0E}"/>
            </a:ext>
          </a:extLst>
        </xdr:cNvPr>
        <xdr:cNvSpPr/>
      </xdr:nvSpPr>
      <xdr:spPr>
        <a:xfrm>
          <a:off x="0" y="467405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SEPTEMBER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27</xdr:row>
      <xdr:rowOff>8166</xdr:rowOff>
    </xdr:from>
    <xdr:to>
      <xdr:col>2</xdr:col>
      <xdr:colOff>583746</xdr:colOff>
      <xdr:row>29</xdr:row>
      <xdr:rowOff>5444</xdr:rowOff>
    </xdr:to>
    <xdr:sp macro="" textlink="">
      <xdr:nvSpPr>
        <xdr:cNvPr id="12" name="Rectangle: Diagonal Corners Rounded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90527A5-D1CD-4AC8-B6E5-985BD563F35A}"/>
            </a:ext>
          </a:extLst>
        </xdr:cNvPr>
        <xdr:cNvSpPr/>
      </xdr:nvSpPr>
      <xdr:spPr>
        <a:xfrm>
          <a:off x="0" y="518024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29</xdr:row>
      <xdr:rowOff>160564</xdr:rowOff>
    </xdr:from>
    <xdr:to>
      <xdr:col>2</xdr:col>
      <xdr:colOff>583746</xdr:colOff>
      <xdr:row>31</xdr:row>
      <xdr:rowOff>157842</xdr:rowOff>
    </xdr:to>
    <xdr:sp macro="" textlink="">
      <xdr:nvSpPr>
        <xdr:cNvPr id="13" name="Rectangle: Diagonal Corners Rounded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1FF00DE-0DDF-490F-918E-487DF9E7AACD}"/>
            </a:ext>
          </a:extLst>
        </xdr:cNvPr>
        <xdr:cNvSpPr/>
      </xdr:nvSpPr>
      <xdr:spPr>
        <a:xfrm>
          <a:off x="0" y="571363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32</xdr:row>
      <xdr:rowOff>95250</xdr:rowOff>
    </xdr:from>
    <xdr:to>
      <xdr:col>2</xdr:col>
      <xdr:colOff>583746</xdr:colOff>
      <xdr:row>34</xdr:row>
      <xdr:rowOff>92528</xdr:rowOff>
    </xdr:to>
    <xdr:sp macro="" textlink="">
      <xdr:nvSpPr>
        <xdr:cNvPr id="14" name="Rectangle: Diagonal Corners Rounded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FEF154C-6A29-404F-8075-4C33D014AF6D}"/>
            </a:ext>
          </a:extLst>
        </xdr:cNvPr>
        <xdr:cNvSpPr/>
      </xdr:nvSpPr>
      <xdr:spPr>
        <a:xfrm>
          <a:off x="0" y="621982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DECEMBER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2</xdr:col>
      <xdr:colOff>578642</xdr:colOff>
      <xdr:row>4</xdr:row>
      <xdr:rowOff>149679</xdr:rowOff>
    </xdr:to>
    <xdr:sp macro="" textlink="">
      <xdr:nvSpPr>
        <xdr:cNvPr id="15" name="Rectangle: Diagonal Corners Rounded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A26DC76-654C-4830-8295-7732F7493E11}"/>
            </a:ext>
          </a:extLst>
        </xdr:cNvPr>
        <xdr:cNvSpPr/>
      </xdr:nvSpPr>
      <xdr:spPr>
        <a:xfrm>
          <a:off x="0" y="533401"/>
          <a:ext cx="1793080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0" lang="en-US" sz="11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43</xdr:col>
      <xdr:colOff>591912</xdr:colOff>
      <xdr:row>0</xdr:row>
      <xdr:rowOff>0</xdr:rowOff>
    </xdr:from>
    <xdr:to>
      <xdr:col>58</xdr:col>
      <xdr:colOff>23813</xdr:colOff>
      <xdr:row>2</xdr:row>
      <xdr:rowOff>68036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7977787-B86C-494D-AE20-F548462371B1}"/>
            </a:ext>
          </a:extLst>
        </xdr:cNvPr>
        <xdr:cNvSpPr/>
      </xdr:nvSpPr>
      <xdr:spPr>
        <a:xfrm>
          <a:off x="22013637" y="0"/>
          <a:ext cx="11823926" cy="44903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chemeClr val="tx1"/>
              </a:solidFill>
              <a:latin typeface="Bell MT" panose="02020503060305020303" pitchFamily="18" charset="0"/>
            </a:rPr>
            <a:t>Monthly Reports</a:t>
          </a:r>
        </a:p>
      </xdr:txBody>
    </xdr:sp>
    <xdr:clientData/>
  </xdr:twoCellAnchor>
  <xdr:twoCellAnchor>
    <xdr:from>
      <xdr:col>2</xdr:col>
      <xdr:colOff>300404</xdr:colOff>
      <xdr:row>0</xdr:row>
      <xdr:rowOff>143791</xdr:rowOff>
    </xdr:from>
    <xdr:to>
      <xdr:col>3</xdr:col>
      <xdr:colOff>365432</xdr:colOff>
      <xdr:row>1</xdr:row>
      <xdr:rowOff>155697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C7D7637-FDEF-440E-BC57-A222C462127E}"/>
            </a:ext>
          </a:extLst>
        </xdr:cNvPr>
        <xdr:cNvSpPr/>
      </xdr:nvSpPr>
      <xdr:spPr>
        <a:xfrm>
          <a:off x="1519604" y="143791"/>
          <a:ext cx="674628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From</a:t>
          </a:r>
        </a:p>
      </xdr:txBody>
    </xdr:sp>
    <xdr:clientData/>
  </xdr:twoCellAnchor>
  <xdr:twoCellAnchor>
    <xdr:from>
      <xdr:col>3</xdr:col>
      <xdr:colOff>370374</xdr:colOff>
      <xdr:row>0</xdr:row>
      <xdr:rowOff>139212</xdr:rowOff>
    </xdr:from>
    <xdr:to>
      <xdr:col>5</xdr:col>
      <xdr:colOff>216510</xdr:colOff>
      <xdr:row>1</xdr:row>
      <xdr:rowOff>151118</xdr:rowOff>
    </xdr:to>
    <xdr:sp macro="" textlink="$G$4">
      <xdr:nvSpPr>
        <xdr:cNvPr id="18" name="Rectangle 17">
          <a:extLst>
            <a:ext uri="{FF2B5EF4-FFF2-40B4-BE49-F238E27FC236}">
              <a16:creationId xmlns:a16="http://schemas.microsoft.com/office/drawing/2014/main" id="{D2F97441-ECCD-404E-B9BF-A19FEF896237}"/>
            </a:ext>
          </a:extLst>
        </xdr:cNvPr>
        <xdr:cNvSpPr/>
      </xdr:nvSpPr>
      <xdr:spPr>
        <a:xfrm>
          <a:off x="2199174" y="139212"/>
          <a:ext cx="1065336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AF7FD6A-326D-4FD2-93D5-C10684C050A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1-Aug-2026</a:t>
          </a:fld>
          <a:endParaRPr lang="en-US" sz="1100"/>
        </a:p>
      </xdr:txBody>
    </xdr:sp>
    <xdr:clientData/>
  </xdr:twoCellAnchor>
  <xdr:twoCellAnchor>
    <xdr:from>
      <xdr:col>5</xdr:col>
      <xdr:colOff>328246</xdr:colOff>
      <xdr:row>0</xdr:row>
      <xdr:rowOff>149653</xdr:rowOff>
    </xdr:from>
    <xdr:to>
      <xdr:col>6</xdr:col>
      <xdr:colOff>451890</xdr:colOff>
      <xdr:row>1</xdr:row>
      <xdr:rowOff>161559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D436845-BE18-40A2-BA1D-FFF0ED30348C}"/>
            </a:ext>
          </a:extLst>
        </xdr:cNvPr>
        <xdr:cNvSpPr/>
      </xdr:nvSpPr>
      <xdr:spPr>
        <a:xfrm>
          <a:off x="3376246" y="149653"/>
          <a:ext cx="676094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To</a:t>
          </a:r>
        </a:p>
      </xdr:txBody>
    </xdr:sp>
    <xdr:clientData/>
  </xdr:twoCellAnchor>
  <xdr:twoCellAnchor>
    <xdr:from>
      <xdr:col>6</xdr:col>
      <xdr:colOff>456832</xdr:colOff>
      <xdr:row>0</xdr:row>
      <xdr:rowOff>147272</xdr:rowOff>
    </xdr:from>
    <xdr:to>
      <xdr:col>7</xdr:col>
      <xdr:colOff>537429</xdr:colOff>
      <xdr:row>1</xdr:row>
      <xdr:rowOff>159178</xdr:rowOff>
    </xdr:to>
    <xdr:sp macro="" textlink="$K$4">
      <xdr:nvSpPr>
        <xdr:cNvPr id="20" name="Rectangle 19">
          <a:extLst>
            <a:ext uri="{FF2B5EF4-FFF2-40B4-BE49-F238E27FC236}">
              <a16:creationId xmlns:a16="http://schemas.microsoft.com/office/drawing/2014/main" id="{08A80B10-FF78-4929-AF55-5D824D562F57}"/>
            </a:ext>
          </a:extLst>
        </xdr:cNvPr>
        <xdr:cNvSpPr/>
      </xdr:nvSpPr>
      <xdr:spPr>
        <a:xfrm>
          <a:off x="4057282" y="147272"/>
          <a:ext cx="1061672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F40C6E-C0CB-4AF1-BD78-7DC7EA8C2F5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31-Aug-2026</a:t>
          </a:fld>
          <a:endParaRPr lang="en-US" sz="1100"/>
        </a:p>
      </xdr:txBody>
    </xdr:sp>
    <xdr:clientData/>
  </xdr:twoCellAnchor>
  <xdr:twoCellAnchor>
    <xdr:from>
      <xdr:col>7</xdr:col>
      <xdr:colOff>1128346</xdr:colOff>
      <xdr:row>0</xdr:row>
      <xdr:rowOff>109904</xdr:rowOff>
    </xdr:from>
    <xdr:to>
      <xdr:col>15</xdr:col>
      <xdr:colOff>314325</xdr:colOff>
      <xdr:row>2</xdr:row>
      <xdr:rowOff>14654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DED54D00-384C-461F-AC25-E06C8B01230B}"/>
            </a:ext>
          </a:extLst>
        </xdr:cNvPr>
        <xdr:cNvSpPr/>
      </xdr:nvSpPr>
      <xdr:spPr>
        <a:xfrm>
          <a:off x="5709871" y="109904"/>
          <a:ext cx="4100879" cy="2857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1348884</xdr:colOff>
      <xdr:row>0</xdr:row>
      <xdr:rowOff>131886</xdr:rowOff>
    </xdr:from>
    <xdr:to>
      <xdr:col>12</xdr:col>
      <xdr:colOff>123825</xdr:colOff>
      <xdr:row>2</xdr:row>
      <xdr:rowOff>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196CF5FB-52FE-43B1-B2DC-014F07A8399A}"/>
            </a:ext>
          </a:extLst>
        </xdr:cNvPr>
        <xdr:cNvSpPr/>
      </xdr:nvSpPr>
      <xdr:spPr>
        <a:xfrm>
          <a:off x="5930409" y="131886"/>
          <a:ext cx="2413491" cy="2491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0">
              <a:solidFill>
                <a:sysClr val="windowText" lastClr="000000"/>
              </a:solidFill>
              <a:latin typeface="Bahnschrift SemiBold Condensed" panose="020B0502040204020203" pitchFamily="34" charset="0"/>
            </a:rPr>
            <a:t>Dashboard For the Month of</a:t>
          </a:r>
        </a:p>
      </xdr:txBody>
    </xdr:sp>
    <xdr:clientData/>
  </xdr:twoCellAnchor>
  <xdr:twoCellAnchor>
    <xdr:from>
      <xdr:col>11</xdr:col>
      <xdr:colOff>219074</xdr:colOff>
      <xdr:row>0</xdr:row>
      <xdr:rowOff>109971</xdr:rowOff>
    </xdr:from>
    <xdr:to>
      <xdr:col>15</xdr:col>
      <xdr:colOff>180974</xdr:colOff>
      <xdr:row>1</xdr:row>
      <xdr:rowOff>181841</xdr:rowOff>
    </xdr:to>
    <xdr:sp macro="" textlink="$I$4">
      <xdr:nvSpPr>
        <xdr:cNvPr id="23" name="Rectangle 22">
          <a:extLst>
            <a:ext uri="{FF2B5EF4-FFF2-40B4-BE49-F238E27FC236}">
              <a16:creationId xmlns:a16="http://schemas.microsoft.com/office/drawing/2014/main" id="{30C4D10D-EE4E-4E5F-B4EF-84974215CF64}"/>
            </a:ext>
          </a:extLst>
        </xdr:cNvPr>
        <xdr:cNvSpPr/>
      </xdr:nvSpPr>
      <xdr:spPr>
        <a:xfrm>
          <a:off x="8048624" y="109971"/>
          <a:ext cx="1628775" cy="2623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BB569BB-9BB2-4291-BB2C-506B0E15CC47}" type="TxLink">
            <a:rPr lang="en-US" sz="1800" b="1" i="0" u="none" strike="noStrike">
              <a:solidFill>
                <a:srgbClr val="7030A0"/>
              </a:solidFill>
              <a:latin typeface="Bell MT" panose="02020503060305020303" pitchFamily="18" charset="0"/>
              <a:ea typeface="Calibri"/>
              <a:cs typeface="Calibri"/>
            </a:rPr>
            <a:pPr algn="ctr"/>
            <a:t>August</a:t>
          </a:fld>
          <a:endParaRPr lang="en-US" sz="1800" b="1">
            <a:solidFill>
              <a:srgbClr val="7030A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29</xdr:col>
      <xdr:colOff>142854</xdr:colOff>
      <xdr:row>0</xdr:row>
      <xdr:rowOff>83343</xdr:rowOff>
    </xdr:from>
    <xdr:to>
      <xdr:col>30</xdr:col>
      <xdr:colOff>71417</xdr:colOff>
      <xdr:row>2</xdr:row>
      <xdr:rowOff>23812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A8A77E3-9ED1-4948-8B45-A4571305ED2A}"/>
            </a:ext>
          </a:extLst>
        </xdr:cNvPr>
        <xdr:cNvSpPr/>
      </xdr:nvSpPr>
      <xdr:spPr>
        <a:xfrm>
          <a:off x="15335229" y="83343"/>
          <a:ext cx="385763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</a:t>
          </a:r>
        </a:p>
      </xdr:txBody>
    </xdr:sp>
    <xdr:clientData/>
  </xdr:twoCellAnchor>
  <xdr:twoCellAnchor>
    <xdr:from>
      <xdr:col>30</xdr:col>
      <xdr:colOff>47605</xdr:colOff>
      <xdr:row>0</xdr:row>
      <xdr:rowOff>95250</xdr:rowOff>
    </xdr:from>
    <xdr:to>
      <xdr:col>32</xdr:col>
      <xdr:colOff>226198</xdr:colOff>
      <xdr:row>2</xdr:row>
      <xdr:rowOff>11906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DFED8C25-C869-44CF-AE72-54248FCCB093}"/>
            </a:ext>
          </a:extLst>
        </xdr:cNvPr>
        <xdr:cNvSpPr/>
      </xdr:nvSpPr>
      <xdr:spPr>
        <a:xfrm>
          <a:off x="15697180" y="95250"/>
          <a:ext cx="902493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PRESENT</a:t>
          </a:r>
        </a:p>
      </xdr:txBody>
    </xdr:sp>
    <xdr:clientData/>
  </xdr:twoCellAnchor>
  <xdr:twoCellAnchor>
    <xdr:from>
      <xdr:col>32</xdr:col>
      <xdr:colOff>390507</xdr:colOff>
      <xdr:row>0</xdr:row>
      <xdr:rowOff>80963</xdr:rowOff>
    </xdr:from>
    <xdr:to>
      <xdr:col>33</xdr:col>
      <xdr:colOff>378600</xdr:colOff>
      <xdr:row>2</xdr:row>
      <xdr:rowOff>21432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A19B8B9-20F6-4395-B24D-8799B95ABAC6}"/>
            </a:ext>
          </a:extLst>
        </xdr:cNvPr>
        <xdr:cNvSpPr/>
      </xdr:nvSpPr>
      <xdr:spPr>
        <a:xfrm>
          <a:off x="16763982" y="80963"/>
          <a:ext cx="378618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🔴</a:t>
          </a:r>
        </a:p>
      </xdr:txBody>
    </xdr:sp>
    <xdr:clientData/>
  </xdr:twoCellAnchor>
  <xdr:twoCellAnchor>
    <xdr:from>
      <xdr:col>33</xdr:col>
      <xdr:colOff>354788</xdr:colOff>
      <xdr:row>0</xdr:row>
      <xdr:rowOff>92870</xdr:rowOff>
    </xdr:from>
    <xdr:to>
      <xdr:col>35</xdr:col>
      <xdr:colOff>378600</xdr:colOff>
      <xdr:row>2</xdr:row>
      <xdr:rowOff>9526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2F2D715-D2EF-4529-8D39-E5498380288E}"/>
            </a:ext>
          </a:extLst>
        </xdr:cNvPr>
        <xdr:cNvSpPr/>
      </xdr:nvSpPr>
      <xdr:spPr>
        <a:xfrm>
          <a:off x="17118788" y="92870"/>
          <a:ext cx="890587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ABSENT</a:t>
          </a:r>
        </a:p>
      </xdr:txBody>
    </xdr:sp>
    <xdr:clientData/>
  </xdr:twoCellAnchor>
  <xdr:twoCellAnchor>
    <xdr:from>
      <xdr:col>36</xdr:col>
      <xdr:colOff>66656</xdr:colOff>
      <xdr:row>0</xdr:row>
      <xdr:rowOff>78581</xdr:rowOff>
    </xdr:from>
    <xdr:to>
      <xdr:col>36</xdr:col>
      <xdr:colOff>447656</xdr:colOff>
      <xdr:row>2</xdr:row>
      <xdr:rowOff>19050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DFFC8F3B-F712-4652-A6A5-EF8C422AB00A}"/>
            </a:ext>
          </a:extLst>
        </xdr:cNvPr>
        <xdr:cNvSpPr/>
      </xdr:nvSpPr>
      <xdr:spPr>
        <a:xfrm>
          <a:off x="18107006" y="78581"/>
          <a:ext cx="381000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36</xdr:col>
      <xdr:colOff>423844</xdr:colOff>
      <xdr:row>0</xdr:row>
      <xdr:rowOff>90488</xdr:rowOff>
    </xdr:from>
    <xdr:to>
      <xdr:col>39</xdr:col>
      <xdr:colOff>149999</xdr:colOff>
      <xdr:row>2</xdr:row>
      <xdr:rowOff>7144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9AB62F6-DF0A-48E5-A78A-9B901B4B4B9F}"/>
            </a:ext>
          </a:extLst>
        </xdr:cNvPr>
        <xdr:cNvSpPr/>
      </xdr:nvSpPr>
      <xdr:spPr>
        <a:xfrm>
          <a:off x="18464194" y="90488"/>
          <a:ext cx="897730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LEAVE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272143</xdr:colOff>
      <xdr:row>0</xdr:row>
      <xdr:rowOff>4948</xdr:rowOff>
    </xdr:from>
    <xdr:to>
      <xdr:col>40</xdr:col>
      <xdr:colOff>13607</xdr:colOff>
      <xdr:row>2</xdr:row>
      <xdr:rowOff>72984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BA1CA8-C71D-4213-A31F-33E58822F88B}"/>
            </a:ext>
          </a:extLst>
        </xdr:cNvPr>
        <xdr:cNvSpPr/>
      </xdr:nvSpPr>
      <xdr:spPr>
        <a:xfrm>
          <a:off x="1491343" y="4948"/>
          <a:ext cx="18115189" cy="449036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2</xdr:rowOff>
    </xdr:from>
    <xdr:to>
      <xdr:col>2</xdr:col>
      <xdr:colOff>304799</xdr:colOff>
      <xdr:row>36</xdr:row>
      <xdr:rowOff>27214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5EB58C6-2205-4A43-9905-32265C278906}"/>
            </a:ext>
          </a:extLst>
        </xdr:cNvPr>
        <xdr:cNvSpPr/>
      </xdr:nvSpPr>
      <xdr:spPr>
        <a:xfrm>
          <a:off x="0" y="2"/>
          <a:ext cx="1523999" cy="691378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59872</xdr:rowOff>
    </xdr:from>
    <xdr:to>
      <xdr:col>2</xdr:col>
      <xdr:colOff>583746</xdr:colOff>
      <xdr:row>7</xdr:row>
      <xdr:rowOff>57150</xdr:rowOff>
    </xdr:to>
    <xdr:sp macro="" textlink="">
      <xdr:nvSpPr>
        <xdr:cNvPr id="4" name="Rectangle: Diagonal Corners Rounded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EC782-D950-44A5-826E-AA8D837C8B3F}"/>
            </a:ext>
          </a:extLst>
        </xdr:cNvPr>
        <xdr:cNvSpPr/>
      </xdr:nvSpPr>
      <xdr:spPr>
        <a:xfrm>
          <a:off x="0" y="1021897"/>
          <a:ext cx="1802946" cy="387803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7</xdr:row>
      <xdr:rowOff>185057</xdr:rowOff>
    </xdr:from>
    <xdr:to>
      <xdr:col>2</xdr:col>
      <xdr:colOff>583746</xdr:colOff>
      <xdr:row>9</xdr:row>
      <xdr:rowOff>182335</xdr:rowOff>
    </xdr:to>
    <xdr:sp macro="" textlink="">
      <xdr:nvSpPr>
        <xdr:cNvPr id="5" name="Rectangle: Diagonal Corners Rounded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185F82-84D8-41C8-853A-76D6149F25D0}"/>
            </a:ext>
          </a:extLst>
        </xdr:cNvPr>
        <xdr:cNvSpPr/>
      </xdr:nvSpPr>
      <xdr:spPr>
        <a:xfrm>
          <a:off x="0" y="1537607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10</xdr:row>
      <xdr:rowOff>92529</xdr:rowOff>
    </xdr:from>
    <xdr:to>
      <xdr:col>2</xdr:col>
      <xdr:colOff>583746</xdr:colOff>
      <xdr:row>12</xdr:row>
      <xdr:rowOff>89807</xdr:rowOff>
    </xdr:to>
    <xdr:sp macro="" textlink="">
      <xdr:nvSpPr>
        <xdr:cNvPr id="6" name="Rectangle: Diagonal Corners Rounded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667430-A2D1-4996-BEE9-2B47A30487B4}"/>
            </a:ext>
          </a:extLst>
        </xdr:cNvPr>
        <xdr:cNvSpPr/>
      </xdr:nvSpPr>
      <xdr:spPr>
        <a:xfrm>
          <a:off x="0" y="20165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2721</xdr:colOff>
      <xdr:row>13</xdr:row>
      <xdr:rowOff>40822</xdr:rowOff>
    </xdr:from>
    <xdr:to>
      <xdr:col>2</xdr:col>
      <xdr:colOff>586467</xdr:colOff>
      <xdr:row>15</xdr:row>
      <xdr:rowOff>38100</xdr:rowOff>
    </xdr:to>
    <xdr:sp macro="" textlink="">
      <xdr:nvSpPr>
        <xdr:cNvPr id="7" name="Rectangle: Diagonal Corners Rounded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42C43FE-D7BC-40C0-88A8-8E61855EC2BB}"/>
            </a:ext>
          </a:extLst>
        </xdr:cNvPr>
        <xdr:cNvSpPr/>
      </xdr:nvSpPr>
      <xdr:spPr>
        <a:xfrm>
          <a:off x="2721" y="2536372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16</xdr:row>
      <xdr:rowOff>2721</xdr:rowOff>
    </xdr:from>
    <xdr:to>
      <xdr:col>2</xdr:col>
      <xdr:colOff>583746</xdr:colOff>
      <xdr:row>17</xdr:row>
      <xdr:rowOff>190499</xdr:rowOff>
    </xdr:to>
    <xdr:sp macro="" textlink="">
      <xdr:nvSpPr>
        <xdr:cNvPr id="8" name="Rectangle: Diagonal Corners Rounded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104AD5-DFCA-4DAB-BBA8-36275D9B325B}"/>
            </a:ext>
          </a:extLst>
        </xdr:cNvPr>
        <xdr:cNvSpPr/>
      </xdr:nvSpPr>
      <xdr:spPr>
        <a:xfrm>
          <a:off x="0" y="306977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18</xdr:row>
      <xdr:rowOff>168729</xdr:rowOff>
    </xdr:from>
    <xdr:to>
      <xdr:col>2</xdr:col>
      <xdr:colOff>583746</xdr:colOff>
      <xdr:row>20</xdr:row>
      <xdr:rowOff>166007</xdr:rowOff>
    </xdr:to>
    <xdr:sp macro="" textlink="">
      <xdr:nvSpPr>
        <xdr:cNvPr id="9" name="Rectangle: Diagonal Corners Rounded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53E1DBF-BEE8-47FD-9ABE-4B1BE0FD1970}"/>
            </a:ext>
          </a:extLst>
        </xdr:cNvPr>
        <xdr:cNvSpPr/>
      </xdr:nvSpPr>
      <xdr:spPr>
        <a:xfrm>
          <a:off x="0" y="36167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21</xdr:row>
      <xdr:rowOff>125186</xdr:rowOff>
    </xdr:from>
    <xdr:to>
      <xdr:col>2</xdr:col>
      <xdr:colOff>583746</xdr:colOff>
      <xdr:row>23</xdr:row>
      <xdr:rowOff>122464</xdr:rowOff>
    </xdr:to>
    <xdr:sp macro="" textlink="">
      <xdr:nvSpPr>
        <xdr:cNvPr id="10" name="Rectangle: Diagonal Corners Rounded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787607-6302-4788-9B5C-45E97F710E70}"/>
            </a:ext>
          </a:extLst>
        </xdr:cNvPr>
        <xdr:cNvSpPr/>
      </xdr:nvSpPr>
      <xdr:spPr>
        <a:xfrm>
          <a:off x="0" y="4144736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AUGUST</a:t>
          </a:r>
          <a:endParaRPr lang="en-US" sz="1100"/>
        </a:p>
      </xdr:txBody>
    </xdr:sp>
    <xdr:clientData/>
  </xdr:twoCellAnchor>
  <xdr:twoCellAnchor>
    <xdr:from>
      <xdr:col>1</xdr:col>
      <xdr:colOff>119062</xdr:colOff>
      <xdr:row>24</xdr:row>
      <xdr:rowOff>85387</xdr:rowOff>
    </xdr:from>
    <xdr:to>
      <xdr:col>4</xdr:col>
      <xdr:colOff>95590</xdr:colOff>
      <xdr:row>26</xdr:row>
      <xdr:rowOff>82665</xdr:rowOff>
    </xdr:to>
    <xdr:sp macro="" textlink="">
      <xdr:nvSpPr>
        <xdr:cNvPr id="11" name="Rectangle: Diagonal Corners Rounded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89BF793-9FAE-455F-B405-FC204CBFF85B}"/>
            </a:ext>
          </a:extLst>
        </xdr:cNvPr>
        <xdr:cNvSpPr/>
      </xdr:nvSpPr>
      <xdr:spPr>
        <a:xfrm>
          <a:off x="726281" y="4693106"/>
          <a:ext cx="1798184" cy="378278"/>
        </a:xfrm>
        <a:prstGeom prst="round2Diag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noProof="0">
              <a:solidFill>
                <a:sysClr val="windowText" lastClr="000000"/>
              </a:solidFill>
              <a:latin typeface="Georgia" panose="02040502050405020303" pitchFamily="18" charset="0"/>
              <a:ea typeface="+mn-ea"/>
              <a:cs typeface="+mn-cs"/>
            </a:rPr>
            <a:t>SEPTEMBER</a:t>
          </a:r>
          <a:endParaRPr lang="en-US" sz="1100" b="1">
            <a:solidFill>
              <a:sysClr val="windowText" lastClr="000000"/>
            </a:solidFill>
            <a:latin typeface="Georgia" panose="020405020504050203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27</xdr:row>
      <xdr:rowOff>8166</xdr:rowOff>
    </xdr:from>
    <xdr:to>
      <xdr:col>2</xdr:col>
      <xdr:colOff>583746</xdr:colOff>
      <xdr:row>29</xdr:row>
      <xdr:rowOff>5444</xdr:rowOff>
    </xdr:to>
    <xdr:sp macro="" textlink="">
      <xdr:nvSpPr>
        <xdr:cNvPr id="12" name="Rectangle: Diagonal Corners Rounded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451A971-0539-4714-9AE7-02C47E5B8A8D}"/>
            </a:ext>
          </a:extLst>
        </xdr:cNvPr>
        <xdr:cNvSpPr/>
      </xdr:nvSpPr>
      <xdr:spPr>
        <a:xfrm>
          <a:off x="0" y="518024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29</xdr:row>
      <xdr:rowOff>160564</xdr:rowOff>
    </xdr:from>
    <xdr:to>
      <xdr:col>2</xdr:col>
      <xdr:colOff>583746</xdr:colOff>
      <xdr:row>31</xdr:row>
      <xdr:rowOff>157842</xdr:rowOff>
    </xdr:to>
    <xdr:sp macro="" textlink="">
      <xdr:nvSpPr>
        <xdr:cNvPr id="13" name="Rectangle: Diagonal Corners Rounded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BFBEA6F-0B09-4499-B56B-7D029DE4BFD4}"/>
            </a:ext>
          </a:extLst>
        </xdr:cNvPr>
        <xdr:cNvSpPr/>
      </xdr:nvSpPr>
      <xdr:spPr>
        <a:xfrm>
          <a:off x="0" y="571363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32</xdr:row>
      <xdr:rowOff>95250</xdr:rowOff>
    </xdr:from>
    <xdr:to>
      <xdr:col>2</xdr:col>
      <xdr:colOff>583746</xdr:colOff>
      <xdr:row>34</xdr:row>
      <xdr:rowOff>92528</xdr:rowOff>
    </xdr:to>
    <xdr:sp macro="" textlink="">
      <xdr:nvSpPr>
        <xdr:cNvPr id="14" name="Rectangle: Diagonal Corners Rounded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D8D3D5D-66B8-4335-AD47-A99C4EA7AF7C}"/>
            </a:ext>
          </a:extLst>
        </xdr:cNvPr>
        <xdr:cNvSpPr/>
      </xdr:nvSpPr>
      <xdr:spPr>
        <a:xfrm>
          <a:off x="0" y="621982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DECEMBER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</xdr:row>
      <xdr:rowOff>140494</xdr:rowOff>
    </xdr:from>
    <xdr:to>
      <xdr:col>2</xdr:col>
      <xdr:colOff>578642</xdr:colOff>
      <xdr:row>4</xdr:row>
      <xdr:rowOff>137772</xdr:rowOff>
    </xdr:to>
    <xdr:sp macro="" textlink="">
      <xdr:nvSpPr>
        <xdr:cNvPr id="15" name="Rectangle: Diagonal Corners Rounded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976771D-4F43-4473-871E-7143DB4870F3}"/>
            </a:ext>
          </a:extLst>
        </xdr:cNvPr>
        <xdr:cNvSpPr/>
      </xdr:nvSpPr>
      <xdr:spPr>
        <a:xfrm>
          <a:off x="0" y="521494"/>
          <a:ext cx="1793080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0" lang="en-US" sz="11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43</xdr:col>
      <xdr:colOff>591912</xdr:colOff>
      <xdr:row>0</xdr:row>
      <xdr:rowOff>0</xdr:rowOff>
    </xdr:from>
    <xdr:to>
      <xdr:col>58</xdr:col>
      <xdr:colOff>23813</xdr:colOff>
      <xdr:row>2</xdr:row>
      <xdr:rowOff>68036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147345E-8AB2-4448-B847-DFA11F77521F}"/>
            </a:ext>
          </a:extLst>
        </xdr:cNvPr>
        <xdr:cNvSpPr/>
      </xdr:nvSpPr>
      <xdr:spPr>
        <a:xfrm>
          <a:off x="22013637" y="0"/>
          <a:ext cx="11823926" cy="44903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chemeClr val="tx1"/>
              </a:solidFill>
              <a:latin typeface="Bell MT" panose="02020503060305020303" pitchFamily="18" charset="0"/>
            </a:rPr>
            <a:t>Monthly Reports</a:t>
          </a:r>
        </a:p>
      </xdr:txBody>
    </xdr:sp>
    <xdr:clientData/>
  </xdr:twoCellAnchor>
  <xdr:twoCellAnchor>
    <xdr:from>
      <xdr:col>2</xdr:col>
      <xdr:colOff>300404</xdr:colOff>
      <xdr:row>0</xdr:row>
      <xdr:rowOff>143791</xdr:rowOff>
    </xdr:from>
    <xdr:to>
      <xdr:col>3</xdr:col>
      <xdr:colOff>365432</xdr:colOff>
      <xdr:row>1</xdr:row>
      <xdr:rowOff>155697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C8D99C5-DC4A-4807-BB5B-4FAD6C3D6BED}"/>
            </a:ext>
          </a:extLst>
        </xdr:cNvPr>
        <xdr:cNvSpPr/>
      </xdr:nvSpPr>
      <xdr:spPr>
        <a:xfrm>
          <a:off x="1519604" y="143791"/>
          <a:ext cx="674628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From</a:t>
          </a:r>
        </a:p>
      </xdr:txBody>
    </xdr:sp>
    <xdr:clientData/>
  </xdr:twoCellAnchor>
  <xdr:twoCellAnchor>
    <xdr:from>
      <xdr:col>3</xdr:col>
      <xdr:colOff>370374</xdr:colOff>
      <xdr:row>0</xdr:row>
      <xdr:rowOff>139212</xdr:rowOff>
    </xdr:from>
    <xdr:to>
      <xdr:col>5</xdr:col>
      <xdr:colOff>216510</xdr:colOff>
      <xdr:row>1</xdr:row>
      <xdr:rowOff>151118</xdr:rowOff>
    </xdr:to>
    <xdr:sp macro="" textlink="$G$4">
      <xdr:nvSpPr>
        <xdr:cNvPr id="18" name="Rectangle 17">
          <a:extLst>
            <a:ext uri="{FF2B5EF4-FFF2-40B4-BE49-F238E27FC236}">
              <a16:creationId xmlns:a16="http://schemas.microsoft.com/office/drawing/2014/main" id="{B715873F-0117-49D0-A5E2-F78A9E6DD78E}"/>
            </a:ext>
          </a:extLst>
        </xdr:cNvPr>
        <xdr:cNvSpPr/>
      </xdr:nvSpPr>
      <xdr:spPr>
        <a:xfrm>
          <a:off x="2199174" y="139212"/>
          <a:ext cx="1065336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AF7FD6A-326D-4FD2-93D5-C10684C050A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1-Sep-2026</a:t>
          </a:fld>
          <a:endParaRPr lang="en-US" sz="1100"/>
        </a:p>
      </xdr:txBody>
    </xdr:sp>
    <xdr:clientData/>
  </xdr:twoCellAnchor>
  <xdr:twoCellAnchor>
    <xdr:from>
      <xdr:col>5</xdr:col>
      <xdr:colOff>328246</xdr:colOff>
      <xdr:row>0</xdr:row>
      <xdr:rowOff>149653</xdr:rowOff>
    </xdr:from>
    <xdr:to>
      <xdr:col>6</xdr:col>
      <xdr:colOff>451890</xdr:colOff>
      <xdr:row>1</xdr:row>
      <xdr:rowOff>161559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E034AB3-E4FF-417F-B3BD-940AE17A074F}"/>
            </a:ext>
          </a:extLst>
        </xdr:cNvPr>
        <xdr:cNvSpPr/>
      </xdr:nvSpPr>
      <xdr:spPr>
        <a:xfrm>
          <a:off x="3376246" y="149653"/>
          <a:ext cx="676094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To</a:t>
          </a:r>
        </a:p>
      </xdr:txBody>
    </xdr:sp>
    <xdr:clientData/>
  </xdr:twoCellAnchor>
  <xdr:twoCellAnchor>
    <xdr:from>
      <xdr:col>6</xdr:col>
      <xdr:colOff>456832</xdr:colOff>
      <xdr:row>0</xdr:row>
      <xdr:rowOff>147272</xdr:rowOff>
    </xdr:from>
    <xdr:to>
      <xdr:col>7</xdr:col>
      <xdr:colOff>537429</xdr:colOff>
      <xdr:row>1</xdr:row>
      <xdr:rowOff>159178</xdr:rowOff>
    </xdr:to>
    <xdr:sp macro="" textlink="$K$4">
      <xdr:nvSpPr>
        <xdr:cNvPr id="20" name="Rectangle 19">
          <a:extLst>
            <a:ext uri="{FF2B5EF4-FFF2-40B4-BE49-F238E27FC236}">
              <a16:creationId xmlns:a16="http://schemas.microsoft.com/office/drawing/2014/main" id="{70C1AA6D-7BA4-4431-9F80-26E7008498CA}"/>
            </a:ext>
          </a:extLst>
        </xdr:cNvPr>
        <xdr:cNvSpPr/>
      </xdr:nvSpPr>
      <xdr:spPr>
        <a:xfrm>
          <a:off x="4057282" y="147272"/>
          <a:ext cx="1061672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F40C6E-C0CB-4AF1-BD78-7DC7EA8C2F5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30-Sep-2026</a:t>
          </a:fld>
          <a:endParaRPr lang="en-US" sz="1100"/>
        </a:p>
      </xdr:txBody>
    </xdr:sp>
    <xdr:clientData/>
  </xdr:twoCellAnchor>
  <xdr:twoCellAnchor>
    <xdr:from>
      <xdr:col>7</xdr:col>
      <xdr:colOff>1128346</xdr:colOff>
      <xdr:row>0</xdr:row>
      <xdr:rowOff>109904</xdr:rowOff>
    </xdr:from>
    <xdr:to>
      <xdr:col>15</xdr:col>
      <xdr:colOff>314325</xdr:colOff>
      <xdr:row>2</xdr:row>
      <xdr:rowOff>14654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927C77BC-72E0-47B0-83C5-A697B3AF708C}"/>
            </a:ext>
          </a:extLst>
        </xdr:cNvPr>
        <xdr:cNvSpPr/>
      </xdr:nvSpPr>
      <xdr:spPr>
        <a:xfrm>
          <a:off x="5709871" y="109904"/>
          <a:ext cx="4100879" cy="2857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1348884</xdr:colOff>
      <xdr:row>0</xdr:row>
      <xdr:rowOff>131886</xdr:rowOff>
    </xdr:from>
    <xdr:to>
      <xdr:col>12</xdr:col>
      <xdr:colOff>123825</xdr:colOff>
      <xdr:row>2</xdr:row>
      <xdr:rowOff>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D669F4C7-6DA6-46A0-B5D3-5307F83CED69}"/>
            </a:ext>
          </a:extLst>
        </xdr:cNvPr>
        <xdr:cNvSpPr/>
      </xdr:nvSpPr>
      <xdr:spPr>
        <a:xfrm>
          <a:off x="5930409" y="131886"/>
          <a:ext cx="2413491" cy="2491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0">
              <a:solidFill>
                <a:sysClr val="windowText" lastClr="000000"/>
              </a:solidFill>
              <a:latin typeface="Bahnschrift SemiBold Condensed" panose="020B0502040204020203" pitchFamily="34" charset="0"/>
            </a:rPr>
            <a:t>Dashboard For the Month of</a:t>
          </a:r>
        </a:p>
      </xdr:txBody>
    </xdr:sp>
    <xdr:clientData/>
  </xdr:twoCellAnchor>
  <xdr:twoCellAnchor>
    <xdr:from>
      <xdr:col>11</xdr:col>
      <xdr:colOff>219074</xdr:colOff>
      <xdr:row>0</xdr:row>
      <xdr:rowOff>109971</xdr:rowOff>
    </xdr:from>
    <xdr:to>
      <xdr:col>15</xdr:col>
      <xdr:colOff>180974</xdr:colOff>
      <xdr:row>1</xdr:row>
      <xdr:rowOff>181841</xdr:rowOff>
    </xdr:to>
    <xdr:sp macro="" textlink="$I$4">
      <xdr:nvSpPr>
        <xdr:cNvPr id="23" name="Rectangle 22">
          <a:extLst>
            <a:ext uri="{FF2B5EF4-FFF2-40B4-BE49-F238E27FC236}">
              <a16:creationId xmlns:a16="http://schemas.microsoft.com/office/drawing/2014/main" id="{288D9B66-DA1F-4352-93E3-2B55FD192476}"/>
            </a:ext>
          </a:extLst>
        </xdr:cNvPr>
        <xdr:cNvSpPr/>
      </xdr:nvSpPr>
      <xdr:spPr>
        <a:xfrm>
          <a:off x="8048624" y="109971"/>
          <a:ext cx="1628775" cy="2623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BB569BB-9BB2-4291-BB2C-506B0E15CC47}" type="TxLink">
            <a:rPr lang="en-US" sz="1800" b="1" i="0" u="none" strike="noStrike">
              <a:solidFill>
                <a:srgbClr val="7030A0"/>
              </a:solidFill>
              <a:latin typeface="Bell MT" panose="02020503060305020303" pitchFamily="18" charset="0"/>
              <a:ea typeface="Calibri"/>
              <a:cs typeface="Calibri"/>
            </a:rPr>
            <a:pPr algn="ctr"/>
            <a:t>September</a:t>
          </a:fld>
          <a:endParaRPr lang="en-US" sz="1800" b="1">
            <a:solidFill>
              <a:srgbClr val="7030A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29</xdr:col>
      <xdr:colOff>142854</xdr:colOff>
      <xdr:row>0</xdr:row>
      <xdr:rowOff>83343</xdr:rowOff>
    </xdr:from>
    <xdr:to>
      <xdr:col>30</xdr:col>
      <xdr:colOff>71417</xdr:colOff>
      <xdr:row>2</xdr:row>
      <xdr:rowOff>23812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5C00279-55D7-4418-A4E1-21AB1056267F}"/>
            </a:ext>
          </a:extLst>
        </xdr:cNvPr>
        <xdr:cNvSpPr/>
      </xdr:nvSpPr>
      <xdr:spPr>
        <a:xfrm>
          <a:off x="15335229" y="83343"/>
          <a:ext cx="385763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</a:t>
          </a:r>
        </a:p>
      </xdr:txBody>
    </xdr:sp>
    <xdr:clientData/>
  </xdr:twoCellAnchor>
  <xdr:twoCellAnchor>
    <xdr:from>
      <xdr:col>30</xdr:col>
      <xdr:colOff>47605</xdr:colOff>
      <xdr:row>0</xdr:row>
      <xdr:rowOff>95250</xdr:rowOff>
    </xdr:from>
    <xdr:to>
      <xdr:col>32</xdr:col>
      <xdr:colOff>226198</xdr:colOff>
      <xdr:row>2</xdr:row>
      <xdr:rowOff>11906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3F0D877-DD8D-4F3D-81C2-F8B58BEA98AB}"/>
            </a:ext>
          </a:extLst>
        </xdr:cNvPr>
        <xdr:cNvSpPr/>
      </xdr:nvSpPr>
      <xdr:spPr>
        <a:xfrm>
          <a:off x="15697180" y="95250"/>
          <a:ext cx="902493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PRESENT</a:t>
          </a:r>
        </a:p>
      </xdr:txBody>
    </xdr:sp>
    <xdr:clientData/>
  </xdr:twoCellAnchor>
  <xdr:twoCellAnchor>
    <xdr:from>
      <xdr:col>32</xdr:col>
      <xdr:colOff>390507</xdr:colOff>
      <xdr:row>0</xdr:row>
      <xdr:rowOff>80963</xdr:rowOff>
    </xdr:from>
    <xdr:to>
      <xdr:col>33</xdr:col>
      <xdr:colOff>378600</xdr:colOff>
      <xdr:row>2</xdr:row>
      <xdr:rowOff>21432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B91616D-5DCE-4782-AC88-0FD2C5CA168D}"/>
            </a:ext>
          </a:extLst>
        </xdr:cNvPr>
        <xdr:cNvSpPr/>
      </xdr:nvSpPr>
      <xdr:spPr>
        <a:xfrm>
          <a:off x="16763982" y="80963"/>
          <a:ext cx="378618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🔴</a:t>
          </a:r>
        </a:p>
      </xdr:txBody>
    </xdr:sp>
    <xdr:clientData/>
  </xdr:twoCellAnchor>
  <xdr:twoCellAnchor>
    <xdr:from>
      <xdr:col>33</xdr:col>
      <xdr:colOff>354788</xdr:colOff>
      <xdr:row>0</xdr:row>
      <xdr:rowOff>92870</xdr:rowOff>
    </xdr:from>
    <xdr:to>
      <xdr:col>35</xdr:col>
      <xdr:colOff>378600</xdr:colOff>
      <xdr:row>2</xdr:row>
      <xdr:rowOff>9526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A186194-C801-4967-AD13-E3AE16F4B7CD}"/>
            </a:ext>
          </a:extLst>
        </xdr:cNvPr>
        <xdr:cNvSpPr/>
      </xdr:nvSpPr>
      <xdr:spPr>
        <a:xfrm>
          <a:off x="17118788" y="92870"/>
          <a:ext cx="890587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ABSENT</a:t>
          </a:r>
        </a:p>
      </xdr:txBody>
    </xdr:sp>
    <xdr:clientData/>
  </xdr:twoCellAnchor>
  <xdr:twoCellAnchor>
    <xdr:from>
      <xdr:col>36</xdr:col>
      <xdr:colOff>66656</xdr:colOff>
      <xdr:row>0</xdr:row>
      <xdr:rowOff>78581</xdr:rowOff>
    </xdr:from>
    <xdr:to>
      <xdr:col>36</xdr:col>
      <xdr:colOff>447656</xdr:colOff>
      <xdr:row>2</xdr:row>
      <xdr:rowOff>19050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A3DDA1-C80C-4DFE-AC8F-B94E563156D5}"/>
            </a:ext>
          </a:extLst>
        </xdr:cNvPr>
        <xdr:cNvSpPr/>
      </xdr:nvSpPr>
      <xdr:spPr>
        <a:xfrm>
          <a:off x="18107006" y="78581"/>
          <a:ext cx="381000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36</xdr:col>
      <xdr:colOff>423844</xdr:colOff>
      <xdr:row>0</xdr:row>
      <xdr:rowOff>90488</xdr:rowOff>
    </xdr:from>
    <xdr:to>
      <xdr:col>39</xdr:col>
      <xdr:colOff>149999</xdr:colOff>
      <xdr:row>2</xdr:row>
      <xdr:rowOff>7144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AACF554-7F59-44E5-B363-6EAE23FAF5F3}"/>
            </a:ext>
          </a:extLst>
        </xdr:cNvPr>
        <xdr:cNvSpPr/>
      </xdr:nvSpPr>
      <xdr:spPr>
        <a:xfrm>
          <a:off x="18464194" y="90488"/>
          <a:ext cx="897730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LEAVE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272143</xdr:colOff>
      <xdr:row>0</xdr:row>
      <xdr:rowOff>4948</xdr:rowOff>
    </xdr:from>
    <xdr:to>
      <xdr:col>40</xdr:col>
      <xdr:colOff>13607</xdr:colOff>
      <xdr:row>2</xdr:row>
      <xdr:rowOff>72984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CDBBA1-BD6E-4F51-85C7-D82FB12ED494}"/>
            </a:ext>
          </a:extLst>
        </xdr:cNvPr>
        <xdr:cNvSpPr/>
      </xdr:nvSpPr>
      <xdr:spPr>
        <a:xfrm>
          <a:off x="1491343" y="4948"/>
          <a:ext cx="18115189" cy="449036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2</xdr:rowOff>
    </xdr:from>
    <xdr:to>
      <xdr:col>2</xdr:col>
      <xdr:colOff>304799</xdr:colOff>
      <xdr:row>36</xdr:row>
      <xdr:rowOff>27214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C925B8C-A676-452B-926A-24CE825A8CFE}"/>
            </a:ext>
          </a:extLst>
        </xdr:cNvPr>
        <xdr:cNvSpPr/>
      </xdr:nvSpPr>
      <xdr:spPr>
        <a:xfrm>
          <a:off x="0" y="2"/>
          <a:ext cx="1523999" cy="691378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59872</xdr:rowOff>
    </xdr:from>
    <xdr:to>
      <xdr:col>2</xdr:col>
      <xdr:colOff>583746</xdr:colOff>
      <xdr:row>7</xdr:row>
      <xdr:rowOff>57150</xdr:rowOff>
    </xdr:to>
    <xdr:sp macro="" textlink="">
      <xdr:nvSpPr>
        <xdr:cNvPr id="4" name="Rectangle: Diagonal Corners Rounded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B46FD6-E91E-48D0-8A19-681E441D23A9}"/>
            </a:ext>
          </a:extLst>
        </xdr:cNvPr>
        <xdr:cNvSpPr/>
      </xdr:nvSpPr>
      <xdr:spPr>
        <a:xfrm>
          <a:off x="0" y="1021897"/>
          <a:ext cx="1802946" cy="387803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7</xdr:row>
      <xdr:rowOff>185057</xdr:rowOff>
    </xdr:from>
    <xdr:to>
      <xdr:col>2</xdr:col>
      <xdr:colOff>583746</xdr:colOff>
      <xdr:row>9</xdr:row>
      <xdr:rowOff>182335</xdr:rowOff>
    </xdr:to>
    <xdr:sp macro="" textlink="">
      <xdr:nvSpPr>
        <xdr:cNvPr id="5" name="Rectangle: Diagonal Corners Rounded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071B5E-87DE-4DD9-BE58-AAA0BFF9666C}"/>
            </a:ext>
          </a:extLst>
        </xdr:cNvPr>
        <xdr:cNvSpPr/>
      </xdr:nvSpPr>
      <xdr:spPr>
        <a:xfrm>
          <a:off x="0" y="1537607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10</xdr:row>
      <xdr:rowOff>92529</xdr:rowOff>
    </xdr:from>
    <xdr:to>
      <xdr:col>2</xdr:col>
      <xdr:colOff>583746</xdr:colOff>
      <xdr:row>12</xdr:row>
      <xdr:rowOff>89807</xdr:rowOff>
    </xdr:to>
    <xdr:sp macro="" textlink="">
      <xdr:nvSpPr>
        <xdr:cNvPr id="6" name="Rectangle: Diagonal Corners Rounded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2299145-F9F1-47EB-A6A9-9484B412F0F8}"/>
            </a:ext>
          </a:extLst>
        </xdr:cNvPr>
        <xdr:cNvSpPr/>
      </xdr:nvSpPr>
      <xdr:spPr>
        <a:xfrm>
          <a:off x="0" y="20165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2721</xdr:colOff>
      <xdr:row>13</xdr:row>
      <xdr:rowOff>40822</xdr:rowOff>
    </xdr:from>
    <xdr:to>
      <xdr:col>2</xdr:col>
      <xdr:colOff>586467</xdr:colOff>
      <xdr:row>15</xdr:row>
      <xdr:rowOff>38100</xdr:rowOff>
    </xdr:to>
    <xdr:sp macro="" textlink="">
      <xdr:nvSpPr>
        <xdr:cNvPr id="7" name="Rectangle: Diagonal Corners Rounded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13E1D4-7F16-4306-8462-A49FE9C3E2F8}"/>
            </a:ext>
          </a:extLst>
        </xdr:cNvPr>
        <xdr:cNvSpPr/>
      </xdr:nvSpPr>
      <xdr:spPr>
        <a:xfrm>
          <a:off x="2721" y="2536372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16</xdr:row>
      <xdr:rowOff>2721</xdr:rowOff>
    </xdr:from>
    <xdr:to>
      <xdr:col>2</xdr:col>
      <xdr:colOff>583746</xdr:colOff>
      <xdr:row>17</xdr:row>
      <xdr:rowOff>190499</xdr:rowOff>
    </xdr:to>
    <xdr:sp macro="" textlink="">
      <xdr:nvSpPr>
        <xdr:cNvPr id="8" name="Rectangle: Diagonal Corners Rounded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56CAA9B-F710-4ECF-8715-748EB53C0FD1}"/>
            </a:ext>
          </a:extLst>
        </xdr:cNvPr>
        <xdr:cNvSpPr/>
      </xdr:nvSpPr>
      <xdr:spPr>
        <a:xfrm>
          <a:off x="0" y="306977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18</xdr:row>
      <xdr:rowOff>168729</xdr:rowOff>
    </xdr:from>
    <xdr:to>
      <xdr:col>2</xdr:col>
      <xdr:colOff>583746</xdr:colOff>
      <xdr:row>20</xdr:row>
      <xdr:rowOff>166007</xdr:rowOff>
    </xdr:to>
    <xdr:sp macro="" textlink="">
      <xdr:nvSpPr>
        <xdr:cNvPr id="9" name="Rectangle: Diagonal Corners Rounded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3166C34-031F-4B73-A25B-2D5E491A89FC}"/>
            </a:ext>
          </a:extLst>
        </xdr:cNvPr>
        <xdr:cNvSpPr/>
      </xdr:nvSpPr>
      <xdr:spPr>
        <a:xfrm>
          <a:off x="0" y="36167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21</xdr:row>
      <xdr:rowOff>125186</xdr:rowOff>
    </xdr:from>
    <xdr:to>
      <xdr:col>2</xdr:col>
      <xdr:colOff>583746</xdr:colOff>
      <xdr:row>23</xdr:row>
      <xdr:rowOff>122464</xdr:rowOff>
    </xdr:to>
    <xdr:sp macro="" textlink="">
      <xdr:nvSpPr>
        <xdr:cNvPr id="10" name="Rectangle: Diagonal Corners Rounded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DDC5801-E639-4DDF-9556-786BA3FFFDC4}"/>
            </a:ext>
          </a:extLst>
        </xdr:cNvPr>
        <xdr:cNvSpPr/>
      </xdr:nvSpPr>
      <xdr:spPr>
        <a:xfrm>
          <a:off x="0" y="4144736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24</xdr:row>
      <xdr:rowOff>73480</xdr:rowOff>
    </xdr:from>
    <xdr:to>
      <xdr:col>2</xdr:col>
      <xdr:colOff>583746</xdr:colOff>
      <xdr:row>26</xdr:row>
      <xdr:rowOff>70758</xdr:rowOff>
    </xdr:to>
    <xdr:sp macro="" textlink="">
      <xdr:nvSpPr>
        <xdr:cNvPr id="11" name="Rectangle: Diagonal Corners Rounded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DA6527E-80F8-4282-B68C-1C08089F59E7}"/>
            </a:ext>
          </a:extLst>
        </xdr:cNvPr>
        <xdr:cNvSpPr/>
      </xdr:nvSpPr>
      <xdr:spPr>
        <a:xfrm>
          <a:off x="0" y="467405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SEPTEMBER</a:t>
          </a:r>
          <a:endParaRPr lang="en-US" sz="1100"/>
        </a:p>
      </xdr:txBody>
    </xdr:sp>
    <xdr:clientData/>
  </xdr:twoCellAnchor>
  <xdr:twoCellAnchor>
    <xdr:from>
      <xdr:col>1</xdr:col>
      <xdr:colOff>122465</xdr:colOff>
      <xdr:row>26</xdr:row>
      <xdr:rowOff>185059</xdr:rowOff>
    </xdr:from>
    <xdr:to>
      <xdr:col>4</xdr:col>
      <xdr:colOff>93889</xdr:colOff>
      <xdr:row>28</xdr:row>
      <xdr:rowOff>182337</xdr:rowOff>
    </xdr:to>
    <xdr:sp macro="" textlink="">
      <xdr:nvSpPr>
        <xdr:cNvPr id="12" name="Rectangle: Diagonal Corners Rounded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6A4C0A4-6C78-475D-9A05-B74E8411E8C7}"/>
            </a:ext>
          </a:extLst>
        </xdr:cNvPr>
        <xdr:cNvSpPr/>
      </xdr:nvSpPr>
      <xdr:spPr>
        <a:xfrm>
          <a:off x="734786" y="5178880"/>
          <a:ext cx="1808389" cy="378278"/>
        </a:xfrm>
        <a:prstGeom prst="round2Diag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noProof="0">
              <a:solidFill>
                <a:sysClr val="windowText" lastClr="000000"/>
              </a:solidFill>
              <a:latin typeface="Georgia" panose="02040502050405020303" pitchFamily="18" charset="0"/>
              <a:ea typeface="+mn-ea"/>
              <a:cs typeface="+mn-cs"/>
            </a:rPr>
            <a:t>OCTOBER</a:t>
          </a:r>
          <a:endParaRPr lang="en-US" sz="1100" b="1">
            <a:solidFill>
              <a:sysClr val="windowText" lastClr="000000"/>
            </a:solidFill>
            <a:latin typeface="Georgia" panose="020405020504050203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29</xdr:row>
      <xdr:rowOff>160564</xdr:rowOff>
    </xdr:from>
    <xdr:to>
      <xdr:col>2</xdr:col>
      <xdr:colOff>583746</xdr:colOff>
      <xdr:row>31</xdr:row>
      <xdr:rowOff>157842</xdr:rowOff>
    </xdr:to>
    <xdr:sp macro="" textlink="">
      <xdr:nvSpPr>
        <xdr:cNvPr id="13" name="Rectangle: Diagonal Corners Rounded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1F4E7AB-0C83-451D-9370-F1046C463744}"/>
            </a:ext>
          </a:extLst>
        </xdr:cNvPr>
        <xdr:cNvSpPr/>
      </xdr:nvSpPr>
      <xdr:spPr>
        <a:xfrm>
          <a:off x="0" y="571363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NOVEMBER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32</xdr:row>
      <xdr:rowOff>95250</xdr:rowOff>
    </xdr:from>
    <xdr:to>
      <xdr:col>2</xdr:col>
      <xdr:colOff>583746</xdr:colOff>
      <xdr:row>34</xdr:row>
      <xdr:rowOff>92528</xdr:rowOff>
    </xdr:to>
    <xdr:sp macro="" textlink="">
      <xdr:nvSpPr>
        <xdr:cNvPr id="14" name="Rectangle: Diagonal Corners Rounded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D1F13D8-19AA-4459-BA19-932042C68D6E}"/>
            </a:ext>
          </a:extLst>
        </xdr:cNvPr>
        <xdr:cNvSpPr/>
      </xdr:nvSpPr>
      <xdr:spPr>
        <a:xfrm>
          <a:off x="0" y="621982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DECEMBER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2</xdr:col>
      <xdr:colOff>583746</xdr:colOff>
      <xdr:row>4</xdr:row>
      <xdr:rowOff>149679</xdr:rowOff>
    </xdr:to>
    <xdr:sp macro="" textlink="">
      <xdr:nvSpPr>
        <xdr:cNvPr id="15" name="Rectangle: Diagonal Corners Rounded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D51E70C-F58E-4442-AF44-FA8087BAC68F}"/>
            </a:ext>
          </a:extLst>
        </xdr:cNvPr>
        <xdr:cNvSpPr/>
      </xdr:nvSpPr>
      <xdr:spPr>
        <a:xfrm>
          <a:off x="0" y="533401"/>
          <a:ext cx="1808389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0" lang="en-US" sz="11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43</xdr:col>
      <xdr:colOff>591912</xdr:colOff>
      <xdr:row>0</xdr:row>
      <xdr:rowOff>0</xdr:rowOff>
    </xdr:from>
    <xdr:to>
      <xdr:col>58</xdr:col>
      <xdr:colOff>23813</xdr:colOff>
      <xdr:row>2</xdr:row>
      <xdr:rowOff>68036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B61C1A3-AE1E-4BB4-A962-375AD637CE28}"/>
            </a:ext>
          </a:extLst>
        </xdr:cNvPr>
        <xdr:cNvSpPr/>
      </xdr:nvSpPr>
      <xdr:spPr>
        <a:xfrm>
          <a:off x="22013637" y="0"/>
          <a:ext cx="11823926" cy="44903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chemeClr val="tx1"/>
              </a:solidFill>
              <a:latin typeface="Bell MT" panose="02020503060305020303" pitchFamily="18" charset="0"/>
            </a:rPr>
            <a:t>Monthly Reports</a:t>
          </a:r>
        </a:p>
      </xdr:txBody>
    </xdr:sp>
    <xdr:clientData/>
  </xdr:twoCellAnchor>
  <xdr:twoCellAnchor>
    <xdr:from>
      <xdr:col>2</xdr:col>
      <xdr:colOff>300404</xdr:colOff>
      <xdr:row>0</xdr:row>
      <xdr:rowOff>143791</xdr:rowOff>
    </xdr:from>
    <xdr:to>
      <xdr:col>3</xdr:col>
      <xdr:colOff>365432</xdr:colOff>
      <xdr:row>1</xdr:row>
      <xdr:rowOff>155697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1DEC493-B5AD-41B5-BB11-D4BD9E2375CE}"/>
            </a:ext>
          </a:extLst>
        </xdr:cNvPr>
        <xdr:cNvSpPr/>
      </xdr:nvSpPr>
      <xdr:spPr>
        <a:xfrm>
          <a:off x="1519604" y="143791"/>
          <a:ext cx="674628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From</a:t>
          </a:r>
        </a:p>
      </xdr:txBody>
    </xdr:sp>
    <xdr:clientData/>
  </xdr:twoCellAnchor>
  <xdr:twoCellAnchor>
    <xdr:from>
      <xdr:col>3</xdr:col>
      <xdr:colOff>370374</xdr:colOff>
      <xdr:row>0</xdr:row>
      <xdr:rowOff>139212</xdr:rowOff>
    </xdr:from>
    <xdr:to>
      <xdr:col>5</xdr:col>
      <xdr:colOff>216510</xdr:colOff>
      <xdr:row>1</xdr:row>
      <xdr:rowOff>151118</xdr:rowOff>
    </xdr:to>
    <xdr:sp macro="" textlink="$G$4">
      <xdr:nvSpPr>
        <xdr:cNvPr id="18" name="Rectangle 17">
          <a:extLst>
            <a:ext uri="{FF2B5EF4-FFF2-40B4-BE49-F238E27FC236}">
              <a16:creationId xmlns:a16="http://schemas.microsoft.com/office/drawing/2014/main" id="{09DBD322-A4B2-449D-B477-2E24A7033857}"/>
            </a:ext>
          </a:extLst>
        </xdr:cNvPr>
        <xdr:cNvSpPr/>
      </xdr:nvSpPr>
      <xdr:spPr>
        <a:xfrm>
          <a:off x="2199174" y="139212"/>
          <a:ext cx="1065336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AF7FD6A-326D-4FD2-93D5-C10684C050A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1-Oct-2026</a:t>
          </a:fld>
          <a:endParaRPr lang="en-US" sz="1100"/>
        </a:p>
      </xdr:txBody>
    </xdr:sp>
    <xdr:clientData/>
  </xdr:twoCellAnchor>
  <xdr:twoCellAnchor>
    <xdr:from>
      <xdr:col>5</xdr:col>
      <xdr:colOff>328246</xdr:colOff>
      <xdr:row>0</xdr:row>
      <xdr:rowOff>149653</xdr:rowOff>
    </xdr:from>
    <xdr:to>
      <xdr:col>6</xdr:col>
      <xdr:colOff>451890</xdr:colOff>
      <xdr:row>1</xdr:row>
      <xdr:rowOff>161559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775BD72-134E-43CF-A1F8-7B235E71D509}"/>
            </a:ext>
          </a:extLst>
        </xdr:cNvPr>
        <xdr:cNvSpPr/>
      </xdr:nvSpPr>
      <xdr:spPr>
        <a:xfrm>
          <a:off x="3376246" y="149653"/>
          <a:ext cx="676094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To</a:t>
          </a:r>
        </a:p>
      </xdr:txBody>
    </xdr:sp>
    <xdr:clientData/>
  </xdr:twoCellAnchor>
  <xdr:twoCellAnchor>
    <xdr:from>
      <xdr:col>6</xdr:col>
      <xdr:colOff>456832</xdr:colOff>
      <xdr:row>0</xdr:row>
      <xdr:rowOff>147272</xdr:rowOff>
    </xdr:from>
    <xdr:to>
      <xdr:col>7</xdr:col>
      <xdr:colOff>537429</xdr:colOff>
      <xdr:row>1</xdr:row>
      <xdr:rowOff>159178</xdr:rowOff>
    </xdr:to>
    <xdr:sp macro="" textlink="$K$4">
      <xdr:nvSpPr>
        <xdr:cNvPr id="20" name="Rectangle 19">
          <a:extLst>
            <a:ext uri="{FF2B5EF4-FFF2-40B4-BE49-F238E27FC236}">
              <a16:creationId xmlns:a16="http://schemas.microsoft.com/office/drawing/2014/main" id="{5E858B69-89E3-49E0-8A4E-2518AB456AB5}"/>
            </a:ext>
          </a:extLst>
        </xdr:cNvPr>
        <xdr:cNvSpPr/>
      </xdr:nvSpPr>
      <xdr:spPr>
        <a:xfrm>
          <a:off x="4057282" y="147272"/>
          <a:ext cx="1061672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F40C6E-C0CB-4AF1-BD78-7DC7EA8C2F5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31-Oct-2026</a:t>
          </a:fld>
          <a:endParaRPr lang="en-US" sz="1100"/>
        </a:p>
      </xdr:txBody>
    </xdr:sp>
    <xdr:clientData/>
  </xdr:twoCellAnchor>
  <xdr:twoCellAnchor>
    <xdr:from>
      <xdr:col>7</xdr:col>
      <xdr:colOff>1128346</xdr:colOff>
      <xdr:row>0</xdr:row>
      <xdr:rowOff>109904</xdr:rowOff>
    </xdr:from>
    <xdr:to>
      <xdr:col>15</xdr:col>
      <xdr:colOff>314325</xdr:colOff>
      <xdr:row>2</xdr:row>
      <xdr:rowOff>14654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DD0FB12C-B2C5-4573-8B75-420EE150D548}"/>
            </a:ext>
          </a:extLst>
        </xdr:cNvPr>
        <xdr:cNvSpPr/>
      </xdr:nvSpPr>
      <xdr:spPr>
        <a:xfrm>
          <a:off x="5709871" y="109904"/>
          <a:ext cx="4100879" cy="2857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1348884</xdr:colOff>
      <xdr:row>0</xdr:row>
      <xdr:rowOff>131886</xdr:rowOff>
    </xdr:from>
    <xdr:to>
      <xdr:col>12</xdr:col>
      <xdr:colOff>123825</xdr:colOff>
      <xdr:row>2</xdr:row>
      <xdr:rowOff>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6B78F378-E862-4C37-BC4A-7C17D0D52E87}"/>
            </a:ext>
          </a:extLst>
        </xdr:cNvPr>
        <xdr:cNvSpPr/>
      </xdr:nvSpPr>
      <xdr:spPr>
        <a:xfrm>
          <a:off x="5930409" y="131886"/>
          <a:ext cx="2413491" cy="2491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0">
              <a:solidFill>
                <a:sysClr val="windowText" lastClr="000000"/>
              </a:solidFill>
              <a:latin typeface="Bahnschrift SemiBold Condensed" panose="020B0502040204020203" pitchFamily="34" charset="0"/>
            </a:rPr>
            <a:t>Dashboard For the Month of</a:t>
          </a:r>
        </a:p>
      </xdr:txBody>
    </xdr:sp>
    <xdr:clientData/>
  </xdr:twoCellAnchor>
  <xdr:twoCellAnchor>
    <xdr:from>
      <xdr:col>11</xdr:col>
      <xdr:colOff>219074</xdr:colOff>
      <xdr:row>0</xdr:row>
      <xdr:rowOff>109971</xdr:rowOff>
    </xdr:from>
    <xdr:to>
      <xdr:col>15</xdr:col>
      <xdr:colOff>180974</xdr:colOff>
      <xdr:row>1</xdr:row>
      <xdr:rowOff>181841</xdr:rowOff>
    </xdr:to>
    <xdr:sp macro="" textlink="$I$4">
      <xdr:nvSpPr>
        <xdr:cNvPr id="23" name="Rectangle 22">
          <a:extLst>
            <a:ext uri="{FF2B5EF4-FFF2-40B4-BE49-F238E27FC236}">
              <a16:creationId xmlns:a16="http://schemas.microsoft.com/office/drawing/2014/main" id="{C09BC2AE-905A-4C2F-AAFA-F3904DB7001E}"/>
            </a:ext>
          </a:extLst>
        </xdr:cNvPr>
        <xdr:cNvSpPr/>
      </xdr:nvSpPr>
      <xdr:spPr>
        <a:xfrm>
          <a:off x="8048624" y="109971"/>
          <a:ext cx="1628775" cy="2623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BB569BB-9BB2-4291-BB2C-506B0E15CC47}" type="TxLink">
            <a:rPr lang="en-US" sz="1800" b="1" i="0" u="none" strike="noStrike">
              <a:solidFill>
                <a:srgbClr val="7030A0"/>
              </a:solidFill>
              <a:latin typeface="Bell MT" panose="02020503060305020303" pitchFamily="18" charset="0"/>
              <a:ea typeface="Calibri"/>
              <a:cs typeface="Calibri"/>
            </a:rPr>
            <a:pPr algn="ctr"/>
            <a:t>October</a:t>
          </a:fld>
          <a:endParaRPr lang="en-US" sz="1800" b="1">
            <a:solidFill>
              <a:srgbClr val="7030A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29</xdr:col>
      <xdr:colOff>142854</xdr:colOff>
      <xdr:row>0</xdr:row>
      <xdr:rowOff>83343</xdr:rowOff>
    </xdr:from>
    <xdr:to>
      <xdr:col>30</xdr:col>
      <xdr:colOff>71417</xdr:colOff>
      <xdr:row>2</xdr:row>
      <xdr:rowOff>23812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D219F6D-6A23-4AFF-A0C3-8E01C7AE408F}"/>
            </a:ext>
          </a:extLst>
        </xdr:cNvPr>
        <xdr:cNvSpPr/>
      </xdr:nvSpPr>
      <xdr:spPr>
        <a:xfrm>
          <a:off x="15335229" y="83343"/>
          <a:ext cx="385763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</a:t>
          </a:r>
        </a:p>
      </xdr:txBody>
    </xdr:sp>
    <xdr:clientData/>
  </xdr:twoCellAnchor>
  <xdr:twoCellAnchor>
    <xdr:from>
      <xdr:col>30</xdr:col>
      <xdr:colOff>47605</xdr:colOff>
      <xdr:row>0</xdr:row>
      <xdr:rowOff>95250</xdr:rowOff>
    </xdr:from>
    <xdr:to>
      <xdr:col>32</xdr:col>
      <xdr:colOff>226198</xdr:colOff>
      <xdr:row>2</xdr:row>
      <xdr:rowOff>11906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153B573C-0C47-457C-B4D1-FF77D3EFD335}"/>
            </a:ext>
          </a:extLst>
        </xdr:cNvPr>
        <xdr:cNvSpPr/>
      </xdr:nvSpPr>
      <xdr:spPr>
        <a:xfrm>
          <a:off x="15697180" y="95250"/>
          <a:ext cx="902493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PRESENT</a:t>
          </a:r>
        </a:p>
      </xdr:txBody>
    </xdr:sp>
    <xdr:clientData/>
  </xdr:twoCellAnchor>
  <xdr:twoCellAnchor>
    <xdr:from>
      <xdr:col>32</xdr:col>
      <xdr:colOff>390507</xdr:colOff>
      <xdr:row>0</xdr:row>
      <xdr:rowOff>80963</xdr:rowOff>
    </xdr:from>
    <xdr:to>
      <xdr:col>33</xdr:col>
      <xdr:colOff>378600</xdr:colOff>
      <xdr:row>2</xdr:row>
      <xdr:rowOff>21432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4A4C6C3-AC12-4147-9825-B6C2D58FD0EE}"/>
            </a:ext>
          </a:extLst>
        </xdr:cNvPr>
        <xdr:cNvSpPr/>
      </xdr:nvSpPr>
      <xdr:spPr>
        <a:xfrm>
          <a:off x="16763982" y="80963"/>
          <a:ext cx="378618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🔴</a:t>
          </a:r>
        </a:p>
      </xdr:txBody>
    </xdr:sp>
    <xdr:clientData/>
  </xdr:twoCellAnchor>
  <xdr:twoCellAnchor>
    <xdr:from>
      <xdr:col>33</xdr:col>
      <xdr:colOff>354788</xdr:colOff>
      <xdr:row>0</xdr:row>
      <xdr:rowOff>92870</xdr:rowOff>
    </xdr:from>
    <xdr:to>
      <xdr:col>35</xdr:col>
      <xdr:colOff>378600</xdr:colOff>
      <xdr:row>2</xdr:row>
      <xdr:rowOff>9526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13760C3-16DA-4429-9202-F24259399046}"/>
            </a:ext>
          </a:extLst>
        </xdr:cNvPr>
        <xdr:cNvSpPr/>
      </xdr:nvSpPr>
      <xdr:spPr>
        <a:xfrm>
          <a:off x="17118788" y="92870"/>
          <a:ext cx="890587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ABSENT</a:t>
          </a:r>
        </a:p>
      </xdr:txBody>
    </xdr:sp>
    <xdr:clientData/>
  </xdr:twoCellAnchor>
  <xdr:twoCellAnchor>
    <xdr:from>
      <xdr:col>36</xdr:col>
      <xdr:colOff>66656</xdr:colOff>
      <xdr:row>0</xdr:row>
      <xdr:rowOff>78581</xdr:rowOff>
    </xdr:from>
    <xdr:to>
      <xdr:col>36</xdr:col>
      <xdr:colOff>447656</xdr:colOff>
      <xdr:row>2</xdr:row>
      <xdr:rowOff>19050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9066BFD8-C005-4F79-AE20-A4299BE97AD9}"/>
            </a:ext>
          </a:extLst>
        </xdr:cNvPr>
        <xdr:cNvSpPr/>
      </xdr:nvSpPr>
      <xdr:spPr>
        <a:xfrm>
          <a:off x="18107006" y="78581"/>
          <a:ext cx="381000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36</xdr:col>
      <xdr:colOff>423844</xdr:colOff>
      <xdr:row>0</xdr:row>
      <xdr:rowOff>90488</xdr:rowOff>
    </xdr:from>
    <xdr:to>
      <xdr:col>39</xdr:col>
      <xdr:colOff>149999</xdr:colOff>
      <xdr:row>2</xdr:row>
      <xdr:rowOff>7144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39BE36E-7548-48AA-9B4E-B0D412BE4A05}"/>
            </a:ext>
          </a:extLst>
        </xdr:cNvPr>
        <xdr:cNvSpPr/>
      </xdr:nvSpPr>
      <xdr:spPr>
        <a:xfrm>
          <a:off x="18464194" y="90488"/>
          <a:ext cx="897730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LEAVE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272143</xdr:colOff>
      <xdr:row>0</xdr:row>
      <xdr:rowOff>4948</xdr:rowOff>
    </xdr:from>
    <xdr:to>
      <xdr:col>40</xdr:col>
      <xdr:colOff>13607</xdr:colOff>
      <xdr:row>2</xdr:row>
      <xdr:rowOff>72984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C6CEBB2-63E7-423E-A821-9AA3B991C3EC}"/>
            </a:ext>
          </a:extLst>
        </xdr:cNvPr>
        <xdr:cNvSpPr/>
      </xdr:nvSpPr>
      <xdr:spPr>
        <a:xfrm>
          <a:off x="1491343" y="4948"/>
          <a:ext cx="18115189" cy="449036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2</xdr:rowOff>
    </xdr:from>
    <xdr:to>
      <xdr:col>2</xdr:col>
      <xdr:colOff>304799</xdr:colOff>
      <xdr:row>36</xdr:row>
      <xdr:rowOff>27214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EAEF93A-8E01-4760-9674-3CBA9AEB0BF5}"/>
            </a:ext>
          </a:extLst>
        </xdr:cNvPr>
        <xdr:cNvSpPr/>
      </xdr:nvSpPr>
      <xdr:spPr>
        <a:xfrm>
          <a:off x="0" y="2"/>
          <a:ext cx="1523999" cy="691378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59872</xdr:rowOff>
    </xdr:from>
    <xdr:to>
      <xdr:col>2</xdr:col>
      <xdr:colOff>583746</xdr:colOff>
      <xdr:row>7</xdr:row>
      <xdr:rowOff>57150</xdr:rowOff>
    </xdr:to>
    <xdr:sp macro="" textlink="">
      <xdr:nvSpPr>
        <xdr:cNvPr id="4" name="Rectangle: Diagonal Corners Rounded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94FB2B-B661-4BB5-AF87-B0B644C5C072}"/>
            </a:ext>
          </a:extLst>
        </xdr:cNvPr>
        <xdr:cNvSpPr/>
      </xdr:nvSpPr>
      <xdr:spPr>
        <a:xfrm>
          <a:off x="0" y="1021897"/>
          <a:ext cx="1802946" cy="387803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7</xdr:row>
      <xdr:rowOff>185057</xdr:rowOff>
    </xdr:from>
    <xdr:to>
      <xdr:col>2</xdr:col>
      <xdr:colOff>583746</xdr:colOff>
      <xdr:row>9</xdr:row>
      <xdr:rowOff>182335</xdr:rowOff>
    </xdr:to>
    <xdr:sp macro="" textlink="">
      <xdr:nvSpPr>
        <xdr:cNvPr id="5" name="Rectangle: Diagonal Corners Rounded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42DF08-B266-4C04-8AFE-7E4505767032}"/>
            </a:ext>
          </a:extLst>
        </xdr:cNvPr>
        <xdr:cNvSpPr/>
      </xdr:nvSpPr>
      <xdr:spPr>
        <a:xfrm>
          <a:off x="0" y="1537607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10</xdr:row>
      <xdr:rowOff>92529</xdr:rowOff>
    </xdr:from>
    <xdr:to>
      <xdr:col>2</xdr:col>
      <xdr:colOff>583746</xdr:colOff>
      <xdr:row>12</xdr:row>
      <xdr:rowOff>89807</xdr:rowOff>
    </xdr:to>
    <xdr:sp macro="" textlink="">
      <xdr:nvSpPr>
        <xdr:cNvPr id="6" name="Rectangle: Diagonal Corners Rounded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38AD6B-87F7-4A4C-82AB-947843953D23}"/>
            </a:ext>
          </a:extLst>
        </xdr:cNvPr>
        <xdr:cNvSpPr/>
      </xdr:nvSpPr>
      <xdr:spPr>
        <a:xfrm>
          <a:off x="0" y="20165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2721</xdr:colOff>
      <xdr:row>13</xdr:row>
      <xdr:rowOff>40822</xdr:rowOff>
    </xdr:from>
    <xdr:to>
      <xdr:col>2</xdr:col>
      <xdr:colOff>586467</xdr:colOff>
      <xdr:row>15</xdr:row>
      <xdr:rowOff>38100</xdr:rowOff>
    </xdr:to>
    <xdr:sp macro="" textlink="">
      <xdr:nvSpPr>
        <xdr:cNvPr id="7" name="Rectangle: Diagonal Corners Rounded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7CE0857-8C1F-4817-B005-3C246CEC7145}"/>
            </a:ext>
          </a:extLst>
        </xdr:cNvPr>
        <xdr:cNvSpPr/>
      </xdr:nvSpPr>
      <xdr:spPr>
        <a:xfrm>
          <a:off x="2721" y="2536372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16</xdr:row>
      <xdr:rowOff>2721</xdr:rowOff>
    </xdr:from>
    <xdr:to>
      <xdr:col>2</xdr:col>
      <xdr:colOff>583746</xdr:colOff>
      <xdr:row>17</xdr:row>
      <xdr:rowOff>190499</xdr:rowOff>
    </xdr:to>
    <xdr:sp macro="" textlink="">
      <xdr:nvSpPr>
        <xdr:cNvPr id="8" name="Rectangle: Diagonal Corners Rounded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F616A30-7191-4688-A534-C8B9E8E35ABA}"/>
            </a:ext>
          </a:extLst>
        </xdr:cNvPr>
        <xdr:cNvSpPr/>
      </xdr:nvSpPr>
      <xdr:spPr>
        <a:xfrm>
          <a:off x="0" y="306977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18</xdr:row>
      <xdr:rowOff>168729</xdr:rowOff>
    </xdr:from>
    <xdr:to>
      <xdr:col>2</xdr:col>
      <xdr:colOff>583746</xdr:colOff>
      <xdr:row>20</xdr:row>
      <xdr:rowOff>166007</xdr:rowOff>
    </xdr:to>
    <xdr:sp macro="" textlink="">
      <xdr:nvSpPr>
        <xdr:cNvPr id="9" name="Rectangle: Diagonal Corners Rounded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4DEBECA-B718-4F57-B498-05AEFD008E59}"/>
            </a:ext>
          </a:extLst>
        </xdr:cNvPr>
        <xdr:cNvSpPr/>
      </xdr:nvSpPr>
      <xdr:spPr>
        <a:xfrm>
          <a:off x="0" y="36167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21</xdr:row>
      <xdr:rowOff>125186</xdr:rowOff>
    </xdr:from>
    <xdr:to>
      <xdr:col>2</xdr:col>
      <xdr:colOff>583746</xdr:colOff>
      <xdr:row>23</xdr:row>
      <xdr:rowOff>122464</xdr:rowOff>
    </xdr:to>
    <xdr:sp macro="" textlink="">
      <xdr:nvSpPr>
        <xdr:cNvPr id="10" name="Rectangle: Diagonal Corners Rounded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D5B22E9-B56F-4555-988C-C2891043E802}"/>
            </a:ext>
          </a:extLst>
        </xdr:cNvPr>
        <xdr:cNvSpPr/>
      </xdr:nvSpPr>
      <xdr:spPr>
        <a:xfrm>
          <a:off x="0" y="4144736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24</xdr:row>
      <xdr:rowOff>73480</xdr:rowOff>
    </xdr:from>
    <xdr:to>
      <xdr:col>2</xdr:col>
      <xdr:colOff>583746</xdr:colOff>
      <xdr:row>26</xdr:row>
      <xdr:rowOff>70758</xdr:rowOff>
    </xdr:to>
    <xdr:sp macro="" textlink="">
      <xdr:nvSpPr>
        <xdr:cNvPr id="11" name="Rectangle: Diagonal Corners Rounded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332D251-49B4-4A11-AA0D-5DC8A11A00C6}"/>
            </a:ext>
          </a:extLst>
        </xdr:cNvPr>
        <xdr:cNvSpPr/>
      </xdr:nvSpPr>
      <xdr:spPr>
        <a:xfrm>
          <a:off x="0" y="467405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SEPTEMBER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27</xdr:row>
      <xdr:rowOff>8166</xdr:rowOff>
    </xdr:from>
    <xdr:to>
      <xdr:col>2</xdr:col>
      <xdr:colOff>583746</xdr:colOff>
      <xdr:row>29</xdr:row>
      <xdr:rowOff>5444</xdr:rowOff>
    </xdr:to>
    <xdr:sp macro="" textlink="">
      <xdr:nvSpPr>
        <xdr:cNvPr id="12" name="Rectangle: Diagonal Corners Rounded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9A8D173-BE1A-41BD-90F8-970471BA63C2}"/>
            </a:ext>
          </a:extLst>
        </xdr:cNvPr>
        <xdr:cNvSpPr/>
      </xdr:nvSpPr>
      <xdr:spPr>
        <a:xfrm>
          <a:off x="0" y="518024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OCTOBER</a:t>
          </a:r>
          <a:endParaRPr lang="en-US" sz="1100"/>
        </a:p>
      </xdr:txBody>
    </xdr:sp>
    <xdr:clientData/>
  </xdr:twoCellAnchor>
  <xdr:twoCellAnchor>
    <xdr:from>
      <xdr:col>1</xdr:col>
      <xdr:colOff>83343</xdr:colOff>
      <xdr:row>29</xdr:row>
      <xdr:rowOff>160564</xdr:rowOff>
    </xdr:from>
    <xdr:to>
      <xdr:col>4</xdr:col>
      <xdr:colOff>59871</xdr:colOff>
      <xdr:row>31</xdr:row>
      <xdr:rowOff>157842</xdr:rowOff>
    </xdr:to>
    <xdr:sp macro="" textlink="">
      <xdr:nvSpPr>
        <xdr:cNvPr id="13" name="Rectangle: Diagonal Corners Rounded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480990-23CA-47F6-A70D-69D74F4BA2B7}"/>
            </a:ext>
          </a:extLst>
        </xdr:cNvPr>
        <xdr:cNvSpPr/>
      </xdr:nvSpPr>
      <xdr:spPr>
        <a:xfrm>
          <a:off x="690562" y="5720783"/>
          <a:ext cx="1798184" cy="378278"/>
        </a:xfrm>
        <a:prstGeom prst="round2Diag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noProof="0">
              <a:solidFill>
                <a:sysClr val="windowText" lastClr="000000"/>
              </a:solidFill>
              <a:latin typeface="Georgia" panose="02040502050405020303" pitchFamily="18" charset="0"/>
              <a:ea typeface="+mn-ea"/>
              <a:cs typeface="+mn-cs"/>
            </a:rPr>
            <a:t>NOVEMBER</a:t>
          </a:r>
          <a:endParaRPr lang="en-US" sz="1100" b="1">
            <a:solidFill>
              <a:sysClr val="windowText" lastClr="000000"/>
            </a:solidFill>
            <a:latin typeface="Georgia" panose="020405020504050203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32</xdr:row>
      <xdr:rowOff>95250</xdr:rowOff>
    </xdr:from>
    <xdr:to>
      <xdr:col>2</xdr:col>
      <xdr:colOff>583746</xdr:colOff>
      <xdr:row>34</xdr:row>
      <xdr:rowOff>92528</xdr:rowOff>
    </xdr:to>
    <xdr:sp macro="" textlink="">
      <xdr:nvSpPr>
        <xdr:cNvPr id="14" name="Rectangle: Diagonal Corners Rounded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D904D0C-3F58-42C7-8F83-794D6CABAD7D}"/>
            </a:ext>
          </a:extLst>
        </xdr:cNvPr>
        <xdr:cNvSpPr/>
      </xdr:nvSpPr>
      <xdr:spPr>
        <a:xfrm>
          <a:off x="0" y="621982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DECEMBER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</xdr:row>
      <xdr:rowOff>152401</xdr:rowOff>
    </xdr:from>
    <xdr:to>
      <xdr:col>2</xdr:col>
      <xdr:colOff>578642</xdr:colOff>
      <xdr:row>4</xdr:row>
      <xdr:rowOff>149679</xdr:rowOff>
    </xdr:to>
    <xdr:sp macro="" textlink="">
      <xdr:nvSpPr>
        <xdr:cNvPr id="15" name="Rectangle: Diagonal Corners Rounded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116CE48-5C64-4BB0-88D1-DB9743E7AD3B}"/>
            </a:ext>
          </a:extLst>
        </xdr:cNvPr>
        <xdr:cNvSpPr/>
      </xdr:nvSpPr>
      <xdr:spPr>
        <a:xfrm>
          <a:off x="0" y="533401"/>
          <a:ext cx="1793080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0" lang="en-US" sz="11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43</xdr:col>
      <xdr:colOff>591912</xdr:colOff>
      <xdr:row>0</xdr:row>
      <xdr:rowOff>0</xdr:rowOff>
    </xdr:from>
    <xdr:to>
      <xdr:col>58</xdr:col>
      <xdr:colOff>23813</xdr:colOff>
      <xdr:row>2</xdr:row>
      <xdr:rowOff>68036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7EB279B-50F2-478A-8F25-1B1DE39B63FD}"/>
            </a:ext>
          </a:extLst>
        </xdr:cNvPr>
        <xdr:cNvSpPr/>
      </xdr:nvSpPr>
      <xdr:spPr>
        <a:xfrm>
          <a:off x="22013637" y="0"/>
          <a:ext cx="11823926" cy="44903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chemeClr val="tx1"/>
              </a:solidFill>
              <a:latin typeface="Bell MT" panose="02020503060305020303" pitchFamily="18" charset="0"/>
            </a:rPr>
            <a:t>Monthly Reports</a:t>
          </a:r>
        </a:p>
      </xdr:txBody>
    </xdr:sp>
    <xdr:clientData/>
  </xdr:twoCellAnchor>
  <xdr:twoCellAnchor>
    <xdr:from>
      <xdr:col>2</xdr:col>
      <xdr:colOff>300404</xdr:colOff>
      <xdr:row>0</xdr:row>
      <xdr:rowOff>143791</xdr:rowOff>
    </xdr:from>
    <xdr:to>
      <xdr:col>3</xdr:col>
      <xdr:colOff>365432</xdr:colOff>
      <xdr:row>1</xdr:row>
      <xdr:rowOff>155697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8FE88DB-128A-4EAC-B80E-BE92B094F299}"/>
            </a:ext>
          </a:extLst>
        </xdr:cNvPr>
        <xdr:cNvSpPr/>
      </xdr:nvSpPr>
      <xdr:spPr>
        <a:xfrm>
          <a:off x="1519604" y="143791"/>
          <a:ext cx="674628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From</a:t>
          </a:r>
        </a:p>
      </xdr:txBody>
    </xdr:sp>
    <xdr:clientData/>
  </xdr:twoCellAnchor>
  <xdr:twoCellAnchor>
    <xdr:from>
      <xdr:col>3</xdr:col>
      <xdr:colOff>370374</xdr:colOff>
      <xdr:row>0</xdr:row>
      <xdr:rowOff>139212</xdr:rowOff>
    </xdr:from>
    <xdr:to>
      <xdr:col>5</xdr:col>
      <xdr:colOff>216510</xdr:colOff>
      <xdr:row>1</xdr:row>
      <xdr:rowOff>151118</xdr:rowOff>
    </xdr:to>
    <xdr:sp macro="" textlink="$G$4">
      <xdr:nvSpPr>
        <xdr:cNvPr id="18" name="Rectangle 17">
          <a:extLst>
            <a:ext uri="{FF2B5EF4-FFF2-40B4-BE49-F238E27FC236}">
              <a16:creationId xmlns:a16="http://schemas.microsoft.com/office/drawing/2014/main" id="{23AEE664-D1E8-4F4F-A432-248BBE6C6153}"/>
            </a:ext>
          </a:extLst>
        </xdr:cNvPr>
        <xdr:cNvSpPr/>
      </xdr:nvSpPr>
      <xdr:spPr>
        <a:xfrm>
          <a:off x="2199174" y="139212"/>
          <a:ext cx="1065336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AF7FD6A-326D-4FD2-93D5-C10684C050A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1-Nov-2026</a:t>
          </a:fld>
          <a:endParaRPr lang="en-US" sz="1100"/>
        </a:p>
      </xdr:txBody>
    </xdr:sp>
    <xdr:clientData/>
  </xdr:twoCellAnchor>
  <xdr:twoCellAnchor>
    <xdr:from>
      <xdr:col>5</xdr:col>
      <xdr:colOff>328246</xdr:colOff>
      <xdr:row>0</xdr:row>
      <xdr:rowOff>149653</xdr:rowOff>
    </xdr:from>
    <xdr:to>
      <xdr:col>6</xdr:col>
      <xdr:colOff>451890</xdr:colOff>
      <xdr:row>1</xdr:row>
      <xdr:rowOff>161559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7001F06-E8AD-4F12-AB56-EFBB4FD410B7}"/>
            </a:ext>
          </a:extLst>
        </xdr:cNvPr>
        <xdr:cNvSpPr/>
      </xdr:nvSpPr>
      <xdr:spPr>
        <a:xfrm>
          <a:off x="3376246" y="149653"/>
          <a:ext cx="676094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To</a:t>
          </a:r>
        </a:p>
      </xdr:txBody>
    </xdr:sp>
    <xdr:clientData/>
  </xdr:twoCellAnchor>
  <xdr:twoCellAnchor>
    <xdr:from>
      <xdr:col>6</xdr:col>
      <xdr:colOff>456832</xdr:colOff>
      <xdr:row>0</xdr:row>
      <xdr:rowOff>147272</xdr:rowOff>
    </xdr:from>
    <xdr:to>
      <xdr:col>7</xdr:col>
      <xdr:colOff>537429</xdr:colOff>
      <xdr:row>1</xdr:row>
      <xdr:rowOff>159178</xdr:rowOff>
    </xdr:to>
    <xdr:sp macro="" textlink="$K$4">
      <xdr:nvSpPr>
        <xdr:cNvPr id="20" name="Rectangle 19">
          <a:extLst>
            <a:ext uri="{FF2B5EF4-FFF2-40B4-BE49-F238E27FC236}">
              <a16:creationId xmlns:a16="http://schemas.microsoft.com/office/drawing/2014/main" id="{289A7DF3-B33E-4741-BE1E-2B128457009B}"/>
            </a:ext>
          </a:extLst>
        </xdr:cNvPr>
        <xdr:cNvSpPr/>
      </xdr:nvSpPr>
      <xdr:spPr>
        <a:xfrm>
          <a:off x="4057282" y="147272"/>
          <a:ext cx="1061672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F40C6E-C0CB-4AF1-BD78-7DC7EA8C2F5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30-Nov-2026</a:t>
          </a:fld>
          <a:endParaRPr lang="en-US" sz="1100"/>
        </a:p>
      </xdr:txBody>
    </xdr:sp>
    <xdr:clientData/>
  </xdr:twoCellAnchor>
  <xdr:twoCellAnchor>
    <xdr:from>
      <xdr:col>7</xdr:col>
      <xdr:colOff>1128346</xdr:colOff>
      <xdr:row>0</xdr:row>
      <xdr:rowOff>109904</xdr:rowOff>
    </xdr:from>
    <xdr:to>
      <xdr:col>15</xdr:col>
      <xdr:colOff>314325</xdr:colOff>
      <xdr:row>2</xdr:row>
      <xdr:rowOff>14654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EA56AFC2-8D6B-40DC-B72A-25A498D85D8E}"/>
            </a:ext>
          </a:extLst>
        </xdr:cNvPr>
        <xdr:cNvSpPr/>
      </xdr:nvSpPr>
      <xdr:spPr>
        <a:xfrm>
          <a:off x="5709871" y="109904"/>
          <a:ext cx="4100879" cy="2857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1348884</xdr:colOff>
      <xdr:row>0</xdr:row>
      <xdr:rowOff>131886</xdr:rowOff>
    </xdr:from>
    <xdr:to>
      <xdr:col>12</xdr:col>
      <xdr:colOff>123825</xdr:colOff>
      <xdr:row>2</xdr:row>
      <xdr:rowOff>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C1083483-6D98-4B7D-B662-DCDCD0FA25F9}"/>
            </a:ext>
          </a:extLst>
        </xdr:cNvPr>
        <xdr:cNvSpPr/>
      </xdr:nvSpPr>
      <xdr:spPr>
        <a:xfrm>
          <a:off x="5930409" y="131886"/>
          <a:ext cx="2413491" cy="2491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0">
              <a:solidFill>
                <a:sysClr val="windowText" lastClr="000000"/>
              </a:solidFill>
              <a:latin typeface="Bahnschrift SemiBold Condensed" panose="020B0502040204020203" pitchFamily="34" charset="0"/>
            </a:rPr>
            <a:t>Dashboard For the Month of</a:t>
          </a:r>
        </a:p>
      </xdr:txBody>
    </xdr:sp>
    <xdr:clientData/>
  </xdr:twoCellAnchor>
  <xdr:twoCellAnchor>
    <xdr:from>
      <xdr:col>11</xdr:col>
      <xdr:colOff>219074</xdr:colOff>
      <xdr:row>0</xdr:row>
      <xdr:rowOff>109971</xdr:rowOff>
    </xdr:from>
    <xdr:to>
      <xdr:col>15</xdr:col>
      <xdr:colOff>180974</xdr:colOff>
      <xdr:row>1</xdr:row>
      <xdr:rowOff>181841</xdr:rowOff>
    </xdr:to>
    <xdr:sp macro="" textlink="$I$4">
      <xdr:nvSpPr>
        <xdr:cNvPr id="23" name="Rectangle 22">
          <a:extLst>
            <a:ext uri="{FF2B5EF4-FFF2-40B4-BE49-F238E27FC236}">
              <a16:creationId xmlns:a16="http://schemas.microsoft.com/office/drawing/2014/main" id="{0E19487F-3A1A-4149-B577-F0FE9518C3A1}"/>
            </a:ext>
          </a:extLst>
        </xdr:cNvPr>
        <xdr:cNvSpPr/>
      </xdr:nvSpPr>
      <xdr:spPr>
        <a:xfrm>
          <a:off x="8048624" y="109971"/>
          <a:ext cx="1628775" cy="2623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BB569BB-9BB2-4291-BB2C-506B0E15CC47}" type="TxLink">
            <a:rPr lang="en-US" sz="1800" b="1" i="0" u="none" strike="noStrike">
              <a:solidFill>
                <a:srgbClr val="7030A0"/>
              </a:solidFill>
              <a:latin typeface="Bell MT" panose="02020503060305020303" pitchFamily="18" charset="0"/>
              <a:ea typeface="Calibri"/>
              <a:cs typeface="Calibri"/>
            </a:rPr>
            <a:pPr algn="ctr"/>
            <a:t>November</a:t>
          </a:fld>
          <a:endParaRPr lang="en-US" sz="1800" b="1">
            <a:solidFill>
              <a:srgbClr val="7030A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29</xdr:col>
      <xdr:colOff>142854</xdr:colOff>
      <xdr:row>0</xdr:row>
      <xdr:rowOff>83343</xdr:rowOff>
    </xdr:from>
    <xdr:to>
      <xdr:col>30</xdr:col>
      <xdr:colOff>71417</xdr:colOff>
      <xdr:row>2</xdr:row>
      <xdr:rowOff>23812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706C01C-5E09-4803-B053-70CAD274A466}"/>
            </a:ext>
          </a:extLst>
        </xdr:cNvPr>
        <xdr:cNvSpPr/>
      </xdr:nvSpPr>
      <xdr:spPr>
        <a:xfrm>
          <a:off x="15335229" y="83343"/>
          <a:ext cx="385763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</a:t>
          </a:r>
        </a:p>
      </xdr:txBody>
    </xdr:sp>
    <xdr:clientData/>
  </xdr:twoCellAnchor>
  <xdr:twoCellAnchor>
    <xdr:from>
      <xdr:col>30</xdr:col>
      <xdr:colOff>47605</xdr:colOff>
      <xdr:row>0</xdr:row>
      <xdr:rowOff>95250</xdr:rowOff>
    </xdr:from>
    <xdr:to>
      <xdr:col>32</xdr:col>
      <xdr:colOff>226198</xdr:colOff>
      <xdr:row>2</xdr:row>
      <xdr:rowOff>11906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64AB8CB4-AFE6-4696-8EF7-77D2467C7D8D}"/>
            </a:ext>
          </a:extLst>
        </xdr:cNvPr>
        <xdr:cNvSpPr/>
      </xdr:nvSpPr>
      <xdr:spPr>
        <a:xfrm>
          <a:off x="15697180" y="95250"/>
          <a:ext cx="902493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PRESENT</a:t>
          </a:r>
        </a:p>
      </xdr:txBody>
    </xdr:sp>
    <xdr:clientData/>
  </xdr:twoCellAnchor>
  <xdr:twoCellAnchor>
    <xdr:from>
      <xdr:col>32</xdr:col>
      <xdr:colOff>390507</xdr:colOff>
      <xdr:row>0</xdr:row>
      <xdr:rowOff>80963</xdr:rowOff>
    </xdr:from>
    <xdr:to>
      <xdr:col>33</xdr:col>
      <xdr:colOff>378600</xdr:colOff>
      <xdr:row>2</xdr:row>
      <xdr:rowOff>21432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C31EE91-FD61-4694-9F6F-2327655C3CE2}"/>
            </a:ext>
          </a:extLst>
        </xdr:cNvPr>
        <xdr:cNvSpPr/>
      </xdr:nvSpPr>
      <xdr:spPr>
        <a:xfrm>
          <a:off x="16763982" y="80963"/>
          <a:ext cx="378618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🔴</a:t>
          </a:r>
        </a:p>
      </xdr:txBody>
    </xdr:sp>
    <xdr:clientData/>
  </xdr:twoCellAnchor>
  <xdr:twoCellAnchor>
    <xdr:from>
      <xdr:col>33</xdr:col>
      <xdr:colOff>354788</xdr:colOff>
      <xdr:row>0</xdr:row>
      <xdr:rowOff>92870</xdr:rowOff>
    </xdr:from>
    <xdr:to>
      <xdr:col>35</xdr:col>
      <xdr:colOff>378600</xdr:colOff>
      <xdr:row>2</xdr:row>
      <xdr:rowOff>9526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D162F68-BCC3-4253-BFCF-2B1B539AD4CF}"/>
            </a:ext>
          </a:extLst>
        </xdr:cNvPr>
        <xdr:cNvSpPr/>
      </xdr:nvSpPr>
      <xdr:spPr>
        <a:xfrm>
          <a:off x="17118788" y="92870"/>
          <a:ext cx="890587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ABSENT</a:t>
          </a:r>
        </a:p>
      </xdr:txBody>
    </xdr:sp>
    <xdr:clientData/>
  </xdr:twoCellAnchor>
  <xdr:twoCellAnchor>
    <xdr:from>
      <xdr:col>36</xdr:col>
      <xdr:colOff>66656</xdr:colOff>
      <xdr:row>0</xdr:row>
      <xdr:rowOff>78581</xdr:rowOff>
    </xdr:from>
    <xdr:to>
      <xdr:col>36</xdr:col>
      <xdr:colOff>447656</xdr:colOff>
      <xdr:row>2</xdr:row>
      <xdr:rowOff>19050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3D44C0-980E-4BB3-8FD1-258CEC413424}"/>
            </a:ext>
          </a:extLst>
        </xdr:cNvPr>
        <xdr:cNvSpPr/>
      </xdr:nvSpPr>
      <xdr:spPr>
        <a:xfrm>
          <a:off x="18107006" y="78581"/>
          <a:ext cx="381000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36</xdr:col>
      <xdr:colOff>423844</xdr:colOff>
      <xdr:row>0</xdr:row>
      <xdr:rowOff>90488</xdr:rowOff>
    </xdr:from>
    <xdr:to>
      <xdr:col>39</xdr:col>
      <xdr:colOff>149999</xdr:colOff>
      <xdr:row>2</xdr:row>
      <xdr:rowOff>7144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4F0CFCB-9CC9-402A-96C3-447573A9BAEE}"/>
            </a:ext>
          </a:extLst>
        </xdr:cNvPr>
        <xdr:cNvSpPr/>
      </xdr:nvSpPr>
      <xdr:spPr>
        <a:xfrm>
          <a:off x="18464194" y="90488"/>
          <a:ext cx="897730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LEAVE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272143</xdr:colOff>
      <xdr:row>0</xdr:row>
      <xdr:rowOff>4948</xdr:rowOff>
    </xdr:from>
    <xdr:to>
      <xdr:col>40</xdr:col>
      <xdr:colOff>13607</xdr:colOff>
      <xdr:row>2</xdr:row>
      <xdr:rowOff>72984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A4F7C6-7222-40B1-B973-776AFAE77F72}"/>
            </a:ext>
          </a:extLst>
        </xdr:cNvPr>
        <xdr:cNvSpPr/>
      </xdr:nvSpPr>
      <xdr:spPr>
        <a:xfrm>
          <a:off x="1491343" y="4948"/>
          <a:ext cx="18115189" cy="449036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2</xdr:rowOff>
    </xdr:from>
    <xdr:to>
      <xdr:col>2</xdr:col>
      <xdr:colOff>304799</xdr:colOff>
      <xdr:row>36</xdr:row>
      <xdr:rowOff>27214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842640A-F301-4B55-93D6-BB7024D8BF7A}"/>
            </a:ext>
          </a:extLst>
        </xdr:cNvPr>
        <xdr:cNvSpPr/>
      </xdr:nvSpPr>
      <xdr:spPr>
        <a:xfrm>
          <a:off x="0" y="2"/>
          <a:ext cx="1523999" cy="6913787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59872</xdr:rowOff>
    </xdr:from>
    <xdr:to>
      <xdr:col>2</xdr:col>
      <xdr:colOff>583746</xdr:colOff>
      <xdr:row>7</xdr:row>
      <xdr:rowOff>57150</xdr:rowOff>
    </xdr:to>
    <xdr:sp macro="" textlink="">
      <xdr:nvSpPr>
        <xdr:cNvPr id="4" name="Rectangle: Diagonal Corners Rounded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9D3AFC-EB5B-45A2-BEE9-38BC0460FC02}"/>
            </a:ext>
          </a:extLst>
        </xdr:cNvPr>
        <xdr:cNvSpPr/>
      </xdr:nvSpPr>
      <xdr:spPr>
        <a:xfrm>
          <a:off x="0" y="1021897"/>
          <a:ext cx="1802946" cy="387803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FEBRUARY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7</xdr:row>
      <xdr:rowOff>185057</xdr:rowOff>
    </xdr:from>
    <xdr:to>
      <xdr:col>2</xdr:col>
      <xdr:colOff>583746</xdr:colOff>
      <xdr:row>9</xdr:row>
      <xdr:rowOff>182335</xdr:rowOff>
    </xdr:to>
    <xdr:sp macro="" textlink="">
      <xdr:nvSpPr>
        <xdr:cNvPr id="5" name="Rectangle: Diagonal Corners Rounded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FDC3BA-9FCD-4CDB-B460-8E6ECEE3B560}"/>
            </a:ext>
          </a:extLst>
        </xdr:cNvPr>
        <xdr:cNvSpPr/>
      </xdr:nvSpPr>
      <xdr:spPr>
        <a:xfrm>
          <a:off x="0" y="1537607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MARCH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10</xdr:row>
      <xdr:rowOff>92529</xdr:rowOff>
    </xdr:from>
    <xdr:to>
      <xdr:col>2</xdr:col>
      <xdr:colOff>583746</xdr:colOff>
      <xdr:row>12</xdr:row>
      <xdr:rowOff>89807</xdr:rowOff>
    </xdr:to>
    <xdr:sp macro="" textlink="">
      <xdr:nvSpPr>
        <xdr:cNvPr id="6" name="Rectangle: Diagonal Corners Rounded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E7895F-10CA-4890-AA9F-EC9EE40DC0DD}"/>
            </a:ext>
          </a:extLst>
        </xdr:cNvPr>
        <xdr:cNvSpPr/>
      </xdr:nvSpPr>
      <xdr:spPr>
        <a:xfrm>
          <a:off x="0" y="20165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APRIL</a:t>
          </a:r>
          <a:endParaRPr lang="en-US" sz="1100"/>
        </a:p>
      </xdr:txBody>
    </xdr:sp>
    <xdr:clientData/>
  </xdr:twoCellAnchor>
  <xdr:twoCellAnchor>
    <xdr:from>
      <xdr:col>0</xdr:col>
      <xdr:colOff>2721</xdr:colOff>
      <xdr:row>13</xdr:row>
      <xdr:rowOff>40822</xdr:rowOff>
    </xdr:from>
    <xdr:to>
      <xdr:col>2</xdr:col>
      <xdr:colOff>586467</xdr:colOff>
      <xdr:row>15</xdr:row>
      <xdr:rowOff>38100</xdr:rowOff>
    </xdr:to>
    <xdr:sp macro="" textlink="">
      <xdr:nvSpPr>
        <xdr:cNvPr id="7" name="Rectangle: Diagonal Corners Rounded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59534C-E90C-45D6-9395-9486097D5189}"/>
            </a:ext>
          </a:extLst>
        </xdr:cNvPr>
        <xdr:cNvSpPr/>
      </xdr:nvSpPr>
      <xdr:spPr>
        <a:xfrm>
          <a:off x="2721" y="2536372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MAY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16</xdr:row>
      <xdr:rowOff>2721</xdr:rowOff>
    </xdr:from>
    <xdr:to>
      <xdr:col>2</xdr:col>
      <xdr:colOff>583746</xdr:colOff>
      <xdr:row>17</xdr:row>
      <xdr:rowOff>190499</xdr:rowOff>
    </xdr:to>
    <xdr:sp macro="" textlink="">
      <xdr:nvSpPr>
        <xdr:cNvPr id="8" name="Rectangle: Diagonal Corners Rounded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34B035F-CB37-4B26-B985-A6D534EFD21F}"/>
            </a:ext>
          </a:extLst>
        </xdr:cNvPr>
        <xdr:cNvSpPr/>
      </xdr:nvSpPr>
      <xdr:spPr>
        <a:xfrm>
          <a:off x="0" y="306977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JUNE</a:t>
          </a:r>
          <a:endParaRPr lang="en-US" sz="1100"/>
        </a:p>
      </xdr:txBody>
    </xdr:sp>
    <xdr:clientData/>
  </xdr:twoCellAnchor>
  <xdr:twoCellAnchor>
    <xdr:from>
      <xdr:col>0</xdr:col>
      <xdr:colOff>0</xdr:colOff>
      <xdr:row>18</xdr:row>
      <xdr:rowOff>168729</xdr:rowOff>
    </xdr:from>
    <xdr:to>
      <xdr:col>2</xdr:col>
      <xdr:colOff>583746</xdr:colOff>
      <xdr:row>20</xdr:row>
      <xdr:rowOff>166007</xdr:rowOff>
    </xdr:to>
    <xdr:sp macro="" textlink="">
      <xdr:nvSpPr>
        <xdr:cNvPr id="9" name="Rectangle: Diagonal Corners Rounded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2AD278A-7A77-42E4-8459-016EBF50A3FC}"/>
            </a:ext>
          </a:extLst>
        </xdr:cNvPr>
        <xdr:cNvSpPr/>
      </xdr:nvSpPr>
      <xdr:spPr>
        <a:xfrm>
          <a:off x="0" y="361677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JULY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21</xdr:row>
      <xdr:rowOff>125186</xdr:rowOff>
    </xdr:from>
    <xdr:to>
      <xdr:col>2</xdr:col>
      <xdr:colOff>583746</xdr:colOff>
      <xdr:row>23</xdr:row>
      <xdr:rowOff>122464</xdr:rowOff>
    </xdr:to>
    <xdr:sp macro="" textlink="">
      <xdr:nvSpPr>
        <xdr:cNvPr id="10" name="Rectangle: Diagonal Corners Rounded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F709B23-8A75-447D-BCBA-236F4BCD2651}"/>
            </a:ext>
          </a:extLst>
        </xdr:cNvPr>
        <xdr:cNvSpPr/>
      </xdr:nvSpPr>
      <xdr:spPr>
        <a:xfrm>
          <a:off x="0" y="4144736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AUGUST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24</xdr:row>
      <xdr:rowOff>73480</xdr:rowOff>
    </xdr:from>
    <xdr:to>
      <xdr:col>2</xdr:col>
      <xdr:colOff>583746</xdr:colOff>
      <xdr:row>26</xdr:row>
      <xdr:rowOff>70758</xdr:rowOff>
    </xdr:to>
    <xdr:sp macro="" textlink="">
      <xdr:nvSpPr>
        <xdr:cNvPr id="11" name="Rectangle: Diagonal Corners Rounded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E5BCC25-D67E-4074-9778-9823208DF7A8}"/>
            </a:ext>
          </a:extLst>
        </xdr:cNvPr>
        <xdr:cNvSpPr/>
      </xdr:nvSpPr>
      <xdr:spPr>
        <a:xfrm>
          <a:off x="0" y="4674055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SEPTEMBER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27</xdr:row>
      <xdr:rowOff>8166</xdr:rowOff>
    </xdr:from>
    <xdr:to>
      <xdr:col>2</xdr:col>
      <xdr:colOff>583746</xdr:colOff>
      <xdr:row>29</xdr:row>
      <xdr:rowOff>5444</xdr:rowOff>
    </xdr:to>
    <xdr:sp macro="" textlink="">
      <xdr:nvSpPr>
        <xdr:cNvPr id="12" name="Rectangle: Diagonal Corners Rounded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CD998-3340-42A4-813B-37F898A7D0CF}"/>
            </a:ext>
          </a:extLst>
        </xdr:cNvPr>
        <xdr:cNvSpPr/>
      </xdr:nvSpPr>
      <xdr:spPr>
        <a:xfrm>
          <a:off x="0" y="5180241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OCTOBER</a:t>
          </a:r>
          <a:endParaRPr lang="en-US" sz="1100"/>
        </a:p>
      </xdr:txBody>
    </xdr:sp>
    <xdr:clientData/>
  </xdr:twoCellAnchor>
  <xdr:twoCellAnchor>
    <xdr:from>
      <xdr:col>0</xdr:col>
      <xdr:colOff>0</xdr:colOff>
      <xdr:row>29</xdr:row>
      <xdr:rowOff>160564</xdr:rowOff>
    </xdr:from>
    <xdr:to>
      <xdr:col>2</xdr:col>
      <xdr:colOff>583746</xdr:colOff>
      <xdr:row>31</xdr:row>
      <xdr:rowOff>157842</xdr:rowOff>
    </xdr:to>
    <xdr:sp macro="" textlink="">
      <xdr:nvSpPr>
        <xdr:cNvPr id="13" name="Rectangle: Diagonal Corners Rounded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41A7C1E-C6E1-4D40-A42F-17E0821A38DC}"/>
            </a:ext>
          </a:extLst>
        </xdr:cNvPr>
        <xdr:cNvSpPr/>
      </xdr:nvSpPr>
      <xdr:spPr>
        <a:xfrm>
          <a:off x="0" y="5713639"/>
          <a:ext cx="180294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NOVEMBER</a:t>
          </a:r>
          <a:endParaRPr lang="en-US" sz="1100"/>
        </a:p>
      </xdr:txBody>
    </xdr:sp>
    <xdr:clientData/>
  </xdr:twoCellAnchor>
  <xdr:twoCellAnchor>
    <xdr:from>
      <xdr:col>1</xdr:col>
      <xdr:colOff>119062</xdr:colOff>
      <xdr:row>32</xdr:row>
      <xdr:rowOff>79375</xdr:rowOff>
    </xdr:from>
    <xdr:to>
      <xdr:col>4</xdr:col>
      <xdr:colOff>91621</xdr:colOff>
      <xdr:row>34</xdr:row>
      <xdr:rowOff>76653</xdr:rowOff>
    </xdr:to>
    <xdr:sp macro="" textlink="">
      <xdr:nvSpPr>
        <xdr:cNvPr id="14" name="Rectangle: Diagonal Corners Rounded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060869C-B2CF-469E-BB37-F92420C00EBC}"/>
            </a:ext>
          </a:extLst>
        </xdr:cNvPr>
        <xdr:cNvSpPr/>
      </xdr:nvSpPr>
      <xdr:spPr>
        <a:xfrm>
          <a:off x="730250" y="6199188"/>
          <a:ext cx="1806121" cy="378278"/>
        </a:xfrm>
        <a:prstGeom prst="round2Diag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noProof="0">
              <a:solidFill>
                <a:sysClr val="windowText" lastClr="000000"/>
              </a:solidFill>
              <a:latin typeface="Georgia" panose="02040502050405020303" pitchFamily="18" charset="0"/>
              <a:ea typeface="+mn-ea"/>
              <a:cs typeface="+mn-cs"/>
            </a:rPr>
            <a:t>DECEMBER</a:t>
          </a:r>
          <a:endParaRPr lang="en-US" sz="1100" b="1">
            <a:solidFill>
              <a:sysClr val="windowText" lastClr="000000"/>
            </a:solidFill>
            <a:latin typeface="Georgia" panose="020405020504050203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2</xdr:row>
      <xdr:rowOff>160338</xdr:rowOff>
    </xdr:from>
    <xdr:to>
      <xdr:col>2</xdr:col>
      <xdr:colOff>582611</xdr:colOff>
      <xdr:row>4</xdr:row>
      <xdr:rowOff>157616</xdr:rowOff>
    </xdr:to>
    <xdr:sp macro="" textlink="">
      <xdr:nvSpPr>
        <xdr:cNvPr id="15" name="Rectangle: Diagonal Corners Rounded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DE955FB-0DB1-42F2-BAE3-E647A71926F7}"/>
            </a:ext>
          </a:extLst>
        </xdr:cNvPr>
        <xdr:cNvSpPr/>
      </xdr:nvSpPr>
      <xdr:spPr>
        <a:xfrm>
          <a:off x="0" y="541338"/>
          <a:ext cx="1804986" cy="378278"/>
        </a:xfrm>
        <a:prstGeom prst="round2Diag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0" lang="en-US" sz="11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Georgia" panose="02040502050405020303" pitchFamily="18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43</xdr:col>
      <xdr:colOff>591912</xdr:colOff>
      <xdr:row>0</xdr:row>
      <xdr:rowOff>0</xdr:rowOff>
    </xdr:from>
    <xdr:to>
      <xdr:col>58</xdr:col>
      <xdr:colOff>23813</xdr:colOff>
      <xdr:row>2</xdr:row>
      <xdr:rowOff>68036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7F0F950-1DED-4E30-9B95-9C30082D8645}"/>
            </a:ext>
          </a:extLst>
        </xdr:cNvPr>
        <xdr:cNvSpPr/>
      </xdr:nvSpPr>
      <xdr:spPr>
        <a:xfrm>
          <a:off x="22013637" y="0"/>
          <a:ext cx="11823926" cy="44903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chemeClr val="tx1"/>
              </a:solidFill>
              <a:latin typeface="Bell MT" panose="02020503060305020303" pitchFamily="18" charset="0"/>
            </a:rPr>
            <a:t>Monthly Reports</a:t>
          </a:r>
        </a:p>
      </xdr:txBody>
    </xdr:sp>
    <xdr:clientData/>
  </xdr:twoCellAnchor>
  <xdr:twoCellAnchor>
    <xdr:from>
      <xdr:col>2</xdr:col>
      <xdr:colOff>300404</xdr:colOff>
      <xdr:row>0</xdr:row>
      <xdr:rowOff>143791</xdr:rowOff>
    </xdr:from>
    <xdr:to>
      <xdr:col>3</xdr:col>
      <xdr:colOff>365432</xdr:colOff>
      <xdr:row>1</xdr:row>
      <xdr:rowOff>155697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A44230AE-636B-45B5-870B-E88BEE66996A}"/>
            </a:ext>
          </a:extLst>
        </xdr:cNvPr>
        <xdr:cNvSpPr/>
      </xdr:nvSpPr>
      <xdr:spPr>
        <a:xfrm>
          <a:off x="1519604" y="143791"/>
          <a:ext cx="674628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From</a:t>
          </a:r>
        </a:p>
      </xdr:txBody>
    </xdr:sp>
    <xdr:clientData/>
  </xdr:twoCellAnchor>
  <xdr:twoCellAnchor>
    <xdr:from>
      <xdr:col>3</xdr:col>
      <xdr:colOff>370374</xdr:colOff>
      <xdr:row>0</xdr:row>
      <xdr:rowOff>139212</xdr:rowOff>
    </xdr:from>
    <xdr:to>
      <xdr:col>5</xdr:col>
      <xdr:colOff>216510</xdr:colOff>
      <xdr:row>1</xdr:row>
      <xdr:rowOff>151118</xdr:rowOff>
    </xdr:to>
    <xdr:sp macro="" textlink="$G$4">
      <xdr:nvSpPr>
        <xdr:cNvPr id="18" name="Rectangle 17">
          <a:extLst>
            <a:ext uri="{FF2B5EF4-FFF2-40B4-BE49-F238E27FC236}">
              <a16:creationId xmlns:a16="http://schemas.microsoft.com/office/drawing/2014/main" id="{EC5047C0-8B05-4E65-8C9B-3685FF05A6C4}"/>
            </a:ext>
          </a:extLst>
        </xdr:cNvPr>
        <xdr:cNvSpPr/>
      </xdr:nvSpPr>
      <xdr:spPr>
        <a:xfrm>
          <a:off x="2199174" y="139212"/>
          <a:ext cx="1065336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AF7FD6A-326D-4FD2-93D5-C10684C050A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1-Dec-2026</a:t>
          </a:fld>
          <a:endParaRPr lang="en-US" sz="1100"/>
        </a:p>
      </xdr:txBody>
    </xdr:sp>
    <xdr:clientData/>
  </xdr:twoCellAnchor>
  <xdr:twoCellAnchor>
    <xdr:from>
      <xdr:col>5</xdr:col>
      <xdr:colOff>328246</xdr:colOff>
      <xdr:row>0</xdr:row>
      <xdr:rowOff>149653</xdr:rowOff>
    </xdr:from>
    <xdr:to>
      <xdr:col>6</xdr:col>
      <xdr:colOff>451890</xdr:colOff>
      <xdr:row>1</xdr:row>
      <xdr:rowOff>161559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9612057-9C6E-4698-A4C2-F210A1E9A731}"/>
            </a:ext>
          </a:extLst>
        </xdr:cNvPr>
        <xdr:cNvSpPr/>
      </xdr:nvSpPr>
      <xdr:spPr>
        <a:xfrm>
          <a:off x="3376246" y="149653"/>
          <a:ext cx="676094" cy="202406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To</a:t>
          </a:r>
        </a:p>
      </xdr:txBody>
    </xdr:sp>
    <xdr:clientData/>
  </xdr:twoCellAnchor>
  <xdr:twoCellAnchor>
    <xdr:from>
      <xdr:col>6</xdr:col>
      <xdr:colOff>456832</xdr:colOff>
      <xdr:row>0</xdr:row>
      <xdr:rowOff>147272</xdr:rowOff>
    </xdr:from>
    <xdr:to>
      <xdr:col>7</xdr:col>
      <xdr:colOff>537429</xdr:colOff>
      <xdr:row>1</xdr:row>
      <xdr:rowOff>159178</xdr:rowOff>
    </xdr:to>
    <xdr:sp macro="" textlink="$K$4">
      <xdr:nvSpPr>
        <xdr:cNvPr id="20" name="Rectangle 19">
          <a:extLst>
            <a:ext uri="{FF2B5EF4-FFF2-40B4-BE49-F238E27FC236}">
              <a16:creationId xmlns:a16="http://schemas.microsoft.com/office/drawing/2014/main" id="{988E2541-5909-497C-A4FC-779A754E9CC2}"/>
            </a:ext>
          </a:extLst>
        </xdr:cNvPr>
        <xdr:cNvSpPr/>
      </xdr:nvSpPr>
      <xdr:spPr>
        <a:xfrm>
          <a:off x="4057282" y="147272"/>
          <a:ext cx="1061672" cy="202406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DF40C6E-C0CB-4AF1-BD78-7DC7EA8C2F5D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31-Dec-2026</a:t>
          </a:fld>
          <a:endParaRPr lang="en-US" sz="1100"/>
        </a:p>
      </xdr:txBody>
    </xdr:sp>
    <xdr:clientData/>
  </xdr:twoCellAnchor>
  <xdr:twoCellAnchor>
    <xdr:from>
      <xdr:col>7</xdr:col>
      <xdr:colOff>1128346</xdr:colOff>
      <xdr:row>0</xdr:row>
      <xdr:rowOff>109904</xdr:rowOff>
    </xdr:from>
    <xdr:to>
      <xdr:col>15</xdr:col>
      <xdr:colOff>314325</xdr:colOff>
      <xdr:row>2</xdr:row>
      <xdr:rowOff>14654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B4B7BB06-50F6-456F-8AAE-BF2209F8236B}"/>
            </a:ext>
          </a:extLst>
        </xdr:cNvPr>
        <xdr:cNvSpPr/>
      </xdr:nvSpPr>
      <xdr:spPr>
        <a:xfrm>
          <a:off x="5709871" y="109904"/>
          <a:ext cx="4100879" cy="2857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1348884</xdr:colOff>
      <xdr:row>0</xdr:row>
      <xdr:rowOff>131886</xdr:rowOff>
    </xdr:from>
    <xdr:to>
      <xdr:col>12</xdr:col>
      <xdr:colOff>123825</xdr:colOff>
      <xdr:row>2</xdr:row>
      <xdr:rowOff>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B97CCAA8-F556-4959-B59D-49AE86EC1EF2}"/>
            </a:ext>
          </a:extLst>
        </xdr:cNvPr>
        <xdr:cNvSpPr/>
      </xdr:nvSpPr>
      <xdr:spPr>
        <a:xfrm>
          <a:off x="5930409" y="131886"/>
          <a:ext cx="2413491" cy="2491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0">
              <a:solidFill>
                <a:sysClr val="windowText" lastClr="000000"/>
              </a:solidFill>
              <a:latin typeface="Bahnschrift SemiBold Condensed" panose="020B0502040204020203" pitchFamily="34" charset="0"/>
            </a:rPr>
            <a:t>Dashboard For the Month of</a:t>
          </a:r>
        </a:p>
      </xdr:txBody>
    </xdr:sp>
    <xdr:clientData/>
  </xdr:twoCellAnchor>
  <xdr:twoCellAnchor>
    <xdr:from>
      <xdr:col>11</xdr:col>
      <xdr:colOff>219074</xdr:colOff>
      <xdr:row>0</xdr:row>
      <xdr:rowOff>109971</xdr:rowOff>
    </xdr:from>
    <xdr:to>
      <xdr:col>15</xdr:col>
      <xdr:colOff>180974</xdr:colOff>
      <xdr:row>1</xdr:row>
      <xdr:rowOff>181841</xdr:rowOff>
    </xdr:to>
    <xdr:sp macro="" textlink="$I$4">
      <xdr:nvSpPr>
        <xdr:cNvPr id="23" name="Rectangle 22">
          <a:extLst>
            <a:ext uri="{FF2B5EF4-FFF2-40B4-BE49-F238E27FC236}">
              <a16:creationId xmlns:a16="http://schemas.microsoft.com/office/drawing/2014/main" id="{8B4D8469-3103-443D-B6E8-C40D98663E01}"/>
            </a:ext>
          </a:extLst>
        </xdr:cNvPr>
        <xdr:cNvSpPr/>
      </xdr:nvSpPr>
      <xdr:spPr>
        <a:xfrm>
          <a:off x="8048624" y="109971"/>
          <a:ext cx="1628775" cy="2623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BB569BB-9BB2-4291-BB2C-506B0E15CC47}" type="TxLink">
            <a:rPr lang="en-US" sz="1800" b="1" i="0" u="none" strike="noStrike">
              <a:solidFill>
                <a:srgbClr val="7030A0"/>
              </a:solidFill>
              <a:latin typeface="Bell MT" panose="02020503060305020303" pitchFamily="18" charset="0"/>
              <a:ea typeface="Calibri"/>
              <a:cs typeface="Calibri"/>
            </a:rPr>
            <a:pPr algn="ctr"/>
            <a:t>December</a:t>
          </a:fld>
          <a:endParaRPr lang="en-US" sz="1800" b="1">
            <a:solidFill>
              <a:srgbClr val="7030A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29</xdr:col>
      <xdr:colOff>142854</xdr:colOff>
      <xdr:row>0</xdr:row>
      <xdr:rowOff>83343</xdr:rowOff>
    </xdr:from>
    <xdr:to>
      <xdr:col>30</xdr:col>
      <xdr:colOff>71417</xdr:colOff>
      <xdr:row>2</xdr:row>
      <xdr:rowOff>23812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CE09047-A517-4572-9EF5-FD6503EDBA11}"/>
            </a:ext>
          </a:extLst>
        </xdr:cNvPr>
        <xdr:cNvSpPr/>
      </xdr:nvSpPr>
      <xdr:spPr>
        <a:xfrm>
          <a:off x="15335229" y="83343"/>
          <a:ext cx="385763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🟢</a:t>
          </a:r>
        </a:p>
      </xdr:txBody>
    </xdr:sp>
    <xdr:clientData/>
  </xdr:twoCellAnchor>
  <xdr:twoCellAnchor>
    <xdr:from>
      <xdr:col>30</xdr:col>
      <xdr:colOff>47605</xdr:colOff>
      <xdr:row>0</xdr:row>
      <xdr:rowOff>95250</xdr:rowOff>
    </xdr:from>
    <xdr:to>
      <xdr:col>32</xdr:col>
      <xdr:colOff>226198</xdr:colOff>
      <xdr:row>2</xdr:row>
      <xdr:rowOff>11906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BF783851-8D6E-4BED-B2DA-F94DC2165659}"/>
            </a:ext>
          </a:extLst>
        </xdr:cNvPr>
        <xdr:cNvSpPr/>
      </xdr:nvSpPr>
      <xdr:spPr>
        <a:xfrm>
          <a:off x="15697180" y="95250"/>
          <a:ext cx="902493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PRESENT</a:t>
          </a:r>
        </a:p>
      </xdr:txBody>
    </xdr:sp>
    <xdr:clientData/>
  </xdr:twoCellAnchor>
  <xdr:twoCellAnchor>
    <xdr:from>
      <xdr:col>32</xdr:col>
      <xdr:colOff>390507</xdr:colOff>
      <xdr:row>0</xdr:row>
      <xdr:rowOff>80963</xdr:rowOff>
    </xdr:from>
    <xdr:to>
      <xdr:col>33</xdr:col>
      <xdr:colOff>378600</xdr:colOff>
      <xdr:row>2</xdr:row>
      <xdr:rowOff>21432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19B4E541-5CB1-44A1-976A-E2AA2FFA8503}"/>
            </a:ext>
          </a:extLst>
        </xdr:cNvPr>
        <xdr:cNvSpPr/>
      </xdr:nvSpPr>
      <xdr:spPr>
        <a:xfrm>
          <a:off x="16763982" y="80963"/>
          <a:ext cx="378618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🔴</a:t>
          </a:r>
        </a:p>
      </xdr:txBody>
    </xdr:sp>
    <xdr:clientData/>
  </xdr:twoCellAnchor>
  <xdr:twoCellAnchor>
    <xdr:from>
      <xdr:col>33</xdr:col>
      <xdr:colOff>354788</xdr:colOff>
      <xdr:row>0</xdr:row>
      <xdr:rowOff>92870</xdr:rowOff>
    </xdr:from>
    <xdr:to>
      <xdr:col>35</xdr:col>
      <xdr:colOff>378600</xdr:colOff>
      <xdr:row>2</xdr:row>
      <xdr:rowOff>9526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54FAB84-FCE1-49B7-B2E3-8F7CB48B12A7}"/>
            </a:ext>
          </a:extLst>
        </xdr:cNvPr>
        <xdr:cNvSpPr/>
      </xdr:nvSpPr>
      <xdr:spPr>
        <a:xfrm>
          <a:off x="17118788" y="92870"/>
          <a:ext cx="890587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ABSENT</a:t>
          </a:r>
        </a:p>
      </xdr:txBody>
    </xdr:sp>
    <xdr:clientData/>
  </xdr:twoCellAnchor>
  <xdr:twoCellAnchor>
    <xdr:from>
      <xdr:col>36</xdr:col>
      <xdr:colOff>66656</xdr:colOff>
      <xdr:row>0</xdr:row>
      <xdr:rowOff>78581</xdr:rowOff>
    </xdr:from>
    <xdr:to>
      <xdr:col>36</xdr:col>
      <xdr:colOff>447656</xdr:colOff>
      <xdr:row>2</xdr:row>
      <xdr:rowOff>19050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785C827-494B-4133-8C2B-0E7F1D49923C}"/>
            </a:ext>
          </a:extLst>
        </xdr:cNvPr>
        <xdr:cNvSpPr/>
      </xdr:nvSpPr>
      <xdr:spPr>
        <a:xfrm>
          <a:off x="18107006" y="78581"/>
          <a:ext cx="381000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🟡</a:t>
          </a:r>
        </a:p>
      </xdr:txBody>
    </xdr:sp>
    <xdr:clientData/>
  </xdr:twoCellAnchor>
  <xdr:twoCellAnchor>
    <xdr:from>
      <xdr:col>36</xdr:col>
      <xdr:colOff>423844</xdr:colOff>
      <xdr:row>0</xdr:row>
      <xdr:rowOff>90488</xdr:rowOff>
    </xdr:from>
    <xdr:to>
      <xdr:col>39</xdr:col>
      <xdr:colOff>149999</xdr:colOff>
      <xdr:row>2</xdr:row>
      <xdr:rowOff>7144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2D54C0A7-208B-4B3C-AFCD-6FEE917F9376}"/>
            </a:ext>
          </a:extLst>
        </xdr:cNvPr>
        <xdr:cNvSpPr/>
      </xdr:nvSpPr>
      <xdr:spPr>
        <a:xfrm>
          <a:off x="18464194" y="90488"/>
          <a:ext cx="897730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LEAVE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30640D-733F-4383-ACFE-3B5C71AE2896}" name="Table1" displayName="Table1" ref="A1:C18" totalsRowShown="0" headerRowDxfId="590" headerRowBorderDxfId="589" tableBorderDxfId="588" totalsRowBorderDxfId="587">
  <autoFilter ref="A1:C18" xr:uid="{B230640D-733F-4383-ACFE-3B5C71AE2896}"/>
  <tableColumns count="3">
    <tableColumn id="1" xr3:uid="{AED1AEF2-0646-4ABD-B003-23884B61BC05}" name="SL No." dataDxfId="586"/>
    <tableColumn id="2" xr3:uid="{954E8E9A-B2C2-43B7-853D-3A17D12B1B7D}" name="Name" dataDxfId="585"/>
    <tableColumn id="3" xr3:uid="{11D1D829-0F14-4537-8B52-12A62CC017D3}" name="Employee ID" dataDxfId="58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70D956-3D5C-4D4C-94C9-00E9875823CC}" name="JanMonthlyReport" displayName="JanMonthlyReport" ref="AS7:BG24" totalsRowShown="0" headerRowDxfId="583" headerRowBorderDxfId="582" tableBorderDxfId="581">
  <autoFilter ref="AS7:BG24" xr:uid="{B870D956-3D5C-4D4C-94C9-00E9875823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240F9F70-459E-4567-A4C3-CED79F40C633}" name="SL NO."/>
    <tableColumn id="2" xr3:uid="{A21D05F2-8ADC-4F30-9E93-B75F9395F9F3}" name="EMPLOYEE ID" dataDxfId="580"/>
    <tableColumn id="15" xr3:uid="{252339A5-D077-4474-8466-48FE3D9ECE5C}" name="Month" dataDxfId="579">
      <calculatedColumnFormula>$I$4</calculatedColumnFormula>
    </tableColumn>
    <tableColumn id="3" xr3:uid="{1617880C-6E93-4F6B-9ACF-AD72A706E2D9}" name="EMPLOYEE NAME" dataDxfId="578"/>
    <tableColumn id="4" xr3:uid="{DDD0CDA3-1C53-40DC-A2A5-93751ABA9A42}" name="Present" dataDxfId="577">
      <calculatedColumnFormula>COUNTIF($J8:$AN8,"P")</calculatedColumnFormula>
    </tableColumn>
    <tableColumn id="5" xr3:uid="{3A57D1CA-FFDF-403F-8F94-48CC80AA0852}" name="Absent" dataDxfId="576">
      <calculatedColumnFormula>COUNTIF($J8:$AN8,"A")</calculatedColumnFormula>
    </tableColumn>
    <tableColumn id="6" xr3:uid="{7EB8FFC3-26E0-45B7-955E-06C5A4632B86}" name="Leave" dataDxfId="575">
      <calculatedColumnFormula>COUNTIF($J8:$AN8,"L")</calculatedColumnFormula>
    </tableColumn>
    <tableColumn id="7" xr3:uid="{E6C1C228-28CC-448D-84C5-5B92AA98EA44}" name="Weak Off" dataDxfId="574">
      <calculatedColumnFormula>$I$8</calculatedColumnFormula>
    </tableColumn>
    <tableColumn id="8" xr3:uid="{8C6C7EDB-64DB-4D05-A560-0F7B70E9787C}" name="Days" dataDxfId="573">
      <calculatedColumnFormula>$H$4</calculatedColumnFormula>
    </tableColumn>
    <tableColumn id="9" xr3:uid="{96570EEB-55BA-4E25-AA2A-80409577A193}" name="Paid Days" dataDxfId="572">
      <calculatedColumnFormula>JanMonthlyReport[[#This Row],[Days]]-JanMonthlyReport[[#This Row],[Absent]]</calculatedColumnFormula>
    </tableColumn>
    <tableColumn id="10" xr3:uid="{5D2DA26A-DCD8-47C3-9AE6-20E8DB9CE34F}" name="Basic Salary" dataDxfId="571"/>
    <tableColumn id="11" xr3:uid="{7C56363C-BB44-4972-B506-0BF67570DCF2}" name="Per Day Salary" dataDxfId="570">
      <calculatedColumnFormula>JanMonthlyReport[[#This Row],[Basic Salary]]/JanMonthlyReport[[#This Row],[Days]]</calculatedColumnFormula>
    </tableColumn>
    <tableColumn id="12" xr3:uid="{1CBA7B26-D83B-4B24-B1E4-49A4C99F53E3}" name="Deduction" dataDxfId="569">
      <calculatedColumnFormula>JanMonthlyReport[[#This Row],[Per Day Salary]]*JanMonthlyReport[[#This Row],[Absent]]</calculatedColumnFormula>
    </tableColumn>
    <tableColumn id="13" xr3:uid="{8C23C4C8-D76A-4F78-8C36-BD20D0B3F3E3}" name="Total Salary" dataDxfId="568">
      <calculatedColumnFormula>JanMonthlyReport[[#This Row],[Basic Salary]]-JanMonthlyReport[[#This Row],[Deduction]]</calculatedColumnFormula>
    </tableColumn>
    <tableColumn id="14" xr3:uid="{7F670DA0-CD89-4E53-848C-4314BDE10A5A}" name="SpeakLine" dataDxfId="28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60A81A-9B3F-42D2-B486-DFABA0E2CF99}" name="JanMonthlyReport4" displayName="JanMonthlyReport4" ref="AS7:BG24" totalsRowShown="0" headerRowDxfId="562" headerRowBorderDxfId="560" tableBorderDxfId="561">
  <autoFilter ref="AS7:BG24" xr:uid="{6960A81A-9B3F-42D2-B486-DFABA0E2CF99}"/>
  <tableColumns count="15">
    <tableColumn id="1" xr3:uid="{1D3AFAC4-C640-4952-8BE7-0B835A8345EF}" name="SL NO."/>
    <tableColumn id="2" xr3:uid="{A9D0176E-8B79-4208-8268-44F29404A277}" name="EMPLOYEE ID" dataDxfId="559"/>
    <tableColumn id="15" xr3:uid="{DD67492D-6812-4DE3-BBD8-BE3B961C8413}" name="Month" dataDxfId="558">
      <calculatedColumnFormula>$I$4</calculatedColumnFormula>
    </tableColumn>
    <tableColumn id="3" xr3:uid="{54E0A67F-83F1-4B5F-847C-5819EC2DE4EA}" name="EMPLOYEE NAME" dataDxfId="557"/>
    <tableColumn id="4" xr3:uid="{7EE5DA7F-58EF-4879-9EE6-17E80B533033}" name="Present" dataDxfId="556">
      <calculatedColumnFormula>COUNTIF($J8:$AN8,"P")</calculatedColumnFormula>
    </tableColumn>
    <tableColumn id="5" xr3:uid="{33BD6842-3D88-4C5F-8631-A990345337A2}" name="Absent" dataDxfId="555">
      <calculatedColumnFormula>COUNTIF($J8:$AN8,"A")</calculatedColumnFormula>
    </tableColumn>
    <tableColumn id="6" xr3:uid="{DC017717-77DA-4978-9DE5-04C2B50C348A}" name="Leave" dataDxfId="554">
      <calculatedColumnFormula>COUNTIF($J8:$AN8,"L")</calculatedColumnFormula>
    </tableColumn>
    <tableColumn id="7" xr3:uid="{6FAC7F73-E014-44D2-99A0-3C70500B216C}" name="Weak Off" dataDxfId="553">
      <calculatedColumnFormula>$I$8</calculatedColumnFormula>
    </tableColumn>
    <tableColumn id="8" xr3:uid="{B0ECF720-4B8E-4B65-8E3B-1F68D712D4A1}" name="Days" dataDxfId="552">
      <calculatedColumnFormula>$H$4</calculatedColumnFormula>
    </tableColumn>
    <tableColumn id="9" xr3:uid="{A160CB52-0408-4AEA-8425-B90F49880105}" name="Paid Days" dataDxfId="551">
      <calculatedColumnFormula>JanMonthlyReport4[[#This Row],[Days]]-JanMonthlyReport4[[#This Row],[Absent]]</calculatedColumnFormula>
    </tableColumn>
    <tableColumn id="10" xr3:uid="{DD2DF854-3A92-4C26-8753-228C33C7F16C}" name="Basic Salary" dataDxfId="550"/>
    <tableColumn id="11" xr3:uid="{322D3634-A7E8-4E9C-8990-4E9CB8A38229}" name="Per Day Salary" dataDxfId="549">
      <calculatedColumnFormula>JanMonthlyReport4[[#This Row],[Basic Salary]]/JanMonthlyReport4[[#This Row],[Days]]</calculatedColumnFormula>
    </tableColumn>
    <tableColumn id="12" xr3:uid="{F2FC28C7-7708-4702-A2E8-F2C4AF87A3FB}" name="Deduction" dataDxfId="548">
      <calculatedColumnFormula>JanMonthlyReport4[[#This Row],[Per Day Salary]]*JanMonthlyReport4[[#This Row],[Absent]]</calculatedColumnFormula>
    </tableColumn>
    <tableColumn id="13" xr3:uid="{5C109CBE-5E71-468F-A259-EF5161DE0845}" name="Total Salary" dataDxfId="547">
      <calculatedColumnFormula>JanMonthlyReport4[[#This Row],[Basic Salary]]-JanMonthlyReport4[[#This Row],[Deduction]]</calculatedColumnFormula>
    </tableColumn>
    <tableColumn id="14" xr3:uid="{CAF1411B-385D-4860-BC84-0D13A3741205}" name="SpeakLine" dataDxfId="285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B36A17-FBBA-486D-927A-A04E6017C384}" name="JanMonthlyReport5" displayName="JanMonthlyReport5" ref="AS7:BG24" totalsRowShown="0" headerRowDxfId="541" headerRowBorderDxfId="539" tableBorderDxfId="540">
  <autoFilter ref="AS7:BG24" xr:uid="{03B36A17-FBBA-486D-927A-A04E6017C384}"/>
  <tableColumns count="15">
    <tableColumn id="1" xr3:uid="{A9769B33-7993-4FAD-88C4-EDF48BE23FA2}" name="SL NO."/>
    <tableColumn id="2" xr3:uid="{BB62BED7-8EA7-453A-9CC3-ED09945479AE}" name="EMPLOYEE ID" dataDxfId="538"/>
    <tableColumn id="15" xr3:uid="{3741E680-6E16-4DBC-B6D1-8D7F7E80E224}" name="Month" dataDxfId="537">
      <calculatedColumnFormula>$I$4</calculatedColumnFormula>
    </tableColumn>
    <tableColumn id="3" xr3:uid="{8F7FC7BE-291D-46DC-BAE4-E978BF24FABB}" name="EMPLOYEE NAME" dataDxfId="536"/>
    <tableColumn id="4" xr3:uid="{42C3FE96-44AE-4067-BA29-67148B42E8D7}" name="Present" dataDxfId="535">
      <calculatedColumnFormula>COUNTIF($J8:$AN8,"P")</calculatedColumnFormula>
    </tableColumn>
    <tableColumn id="5" xr3:uid="{402F5549-1C81-4511-963D-975CDF26FC64}" name="Absent" dataDxfId="534">
      <calculatedColumnFormula>COUNTIF($J8:$AN8,"A")</calculatedColumnFormula>
    </tableColumn>
    <tableColumn id="6" xr3:uid="{C4CFA12D-C8BB-4CE6-BC5F-D26F7DEC4AED}" name="Leave" dataDxfId="533">
      <calculatedColumnFormula>COUNTIF($J8:$AN8,"L")</calculatedColumnFormula>
    </tableColumn>
    <tableColumn id="7" xr3:uid="{0DF0EE53-D144-4207-B8EC-BA6F0F239F4D}" name="Weak Off" dataDxfId="532">
      <calculatedColumnFormula>$I$8</calculatedColumnFormula>
    </tableColumn>
    <tableColumn id="8" xr3:uid="{3A91B007-E021-4249-B59A-9606D3DF2899}" name="Days" dataDxfId="531">
      <calculatedColumnFormula>$H$4</calculatedColumnFormula>
    </tableColumn>
    <tableColumn id="9" xr3:uid="{60227B01-9BD0-48D1-BC00-F9CD8C19C006}" name="Paid Days" dataDxfId="530">
      <calculatedColumnFormula>JanMonthlyReport5[[#This Row],[Days]]-JanMonthlyReport5[[#This Row],[Absent]]</calculatedColumnFormula>
    </tableColumn>
    <tableColumn id="10" xr3:uid="{19D80BF6-8C43-4BCF-9348-AC7994D17703}" name="Basic Salary" dataDxfId="529"/>
    <tableColumn id="11" xr3:uid="{2CE19287-B605-4A8A-8272-17153320AB56}" name="Per Day Salary" dataDxfId="528">
      <calculatedColumnFormula>JanMonthlyReport5[[#This Row],[Basic Salary]]/JanMonthlyReport5[[#This Row],[Days]]</calculatedColumnFormula>
    </tableColumn>
    <tableColumn id="12" xr3:uid="{C6DF9EB0-BCD2-41C5-AFE5-94BF9515315A}" name="Deduction" dataDxfId="527">
      <calculatedColumnFormula>JanMonthlyReport5[[#This Row],[Per Day Salary]]*JanMonthlyReport5[[#This Row],[Absent]]</calculatedColumnFormula>
    </tableColumn>
    <tableColumn id="13" xr3:uid="{CA2F9EB5-B797-4D8B-8737-C085AC36E604}" name="Total Salary" dataDxfId="526">
      <calculatedColumnFormula>JanMonthlyReport5[[#This Row],[Basic Salary]]-JanMonthlyReport5[[#This Row],[Deduction]]</calculatedColumnFormula>
    </tableColumn>
    <tableColumn id="14" xr3:uid="{F2C57D6D-B7DD-409F-A62A-1CC7E759FD67}" name="SpeakLine" dataDxfId="193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9E465AE-A07B-4B7C-9F2E-A1CFEE2B70A4}" name="JanMonthlyReport716" displayName="JanMonthlyReport716" ref="AS7:BG24" totalsRowShown="0" headerRowDxfId="132" headerRowBorderDxfId="130" tableBorderDxfId="131">
  <autoFilter ref="AS7:BG24" xr:uid="{B9E465AE-A07B-4B7C-9F2E-A1CFEE2B70A4}"/>
  <tableColumns count="15">
    <tableColumn id="1" xr3:uid="{EC6FF974-F55C-4F49-80FA-A51764B6B970}" name="SL NO."/>
    <tableColumn id="2" xr3:uid="{ED6B0C55-33CA-4114-8FC7-36470B8682E6}" name="EMPLOYEE ID" dataDxfId="129"/>
    <tableColumn id="15" xr3:uid="{C132AC8E-03A2-481C-8819-D4C8752A35E7}" name="Month" dataDxfId="128">
      <calculatedColumnFormula>$I$4</calculatedColumnFormula>
    </tableColumn>
    <tableColumn id="3" xr3:uid="{1491554E-E579-4F33-87BE-6696E0E7DD86}" name="EMPLOYEE NAME" dataDxfId="127"/>
    <tableColumn id="4" xr3:uid="{B5465C8C-EE3D-4693-82AC-C127AF922ADC}" name="Present" dataDxfId="126">
      <calculatedColumnFormula>COUNTIF($J8:$AN8,"P")</calculatedColumnFormula>
    </tableColumn>
    <tableColumn id="5" xr3:uid="{31678DAB-811D-4335-8D49-4F3080788172}" name="Absent" dataDxfId="125">
      <calculatedColumnFormula>COUNTIF($J8:$AN8,"A")</calculatedColumnFormula>
    </tableColumn>
    <tableColumn id="6" xr3:uid="{F2AAF8D5-659F-4909-8ED2-7096A3F76083}" name="Leave" dataDxfId="124">
      <calculatedColumnFormula>COUNTIF($J8:$AN8,"L")</calculatedColumnFormula>
    </tableColumn>
    <tableColumn id="7" xr3:uid="{3BD02DCB-613C-4F6E-AB21-A439C9085CEA}" name="Weak Off" dataDxfId="123">
      <calculatedColumnFormula>$I$8</calculatedColumnFormula>
    </tableColumn>
    <tableColumn id="8" xr3:uid="{B2DD370E-FA9B-4ACB-A4E7-106C6990425E}" name="Days" dataDxfId="122">
      <calculatedColumnFormula>$H$4</calculatedColumnFormula>
    </tableColumn>
    <tableColumn id="9" xr3:uid="{364AF926-06BA-480D-8BBD-CC61AA185183}" name="Paid Days" dataDxfId="121">
      <calculatedColumnFormula>JanMonthlyReport716[[#This Row],[Days]]-JanMonthlyReport716[[#This Row],[Absent]]</calculatedColumnFormula>
    </tableColumn>
    <tableColumn id="10" xr3:uid="{CCCF4D12-F066-46F7-B241-9165EE843245}" name="Basic Salary" dataDxfId="120"/>
    <tableColumn id="11" xr3:uid="{5A3BC41B-9B72-4E6D-8FEA-B0FD239883DD}" name="Per Day Salary" dataDxfId="119">
      <calculatedColumnFormula>JanMonthlyReport716[[#This Row],[Basic Salary]]/JanMonthlyReport716[[#This Row],[Days]]</calculatedColumnFormula>
    </tableColumn>
    <tableColumn id="12" xr3:uid="{B7AD5277-A2A2-4627-AEBF-C8D8B784679F}" name="Deduction" dataDxfId="118">
      <calculatedColumnFormula>JanMonthlyReport716[[#This Row],[Per Day Salary]]*JanMonthlyReport716[[#This Row],[Absent]]</calculatedColumnFormula>
    </tableColumn>
    <tableColumn id="13" xr3:uid="{22C74A79-D67E-49BC-9601-27E617723E05}" name="Total Salary" dataDxfId="117">
      <calculatedColumnFormula>JanMonthlyReport716[[#This Row],[Basic Salary]]-JanMonthlyReport716[[#This Row],[Deduction]]</calculatedColumnFormula>
    </tableColumn>
    <tableColumn id="14" xr3:uid="{38FA0D9F-77BD-41FD-B0A1-996256ECCEB0}" name="SpeakLine" dataDxfId="116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E70B3F-34BF-4EB9-A1CB-D4F79D54F542}" name="JanMonthlyReport7" displayName="JanMonthlyReport7" ref="AS7:BG24" totalsRowShown="0" headerRowDxfId="515" headerRowBorderDxfId="513" tableBorderDxfId="514">
  <autoFilter ref="AS7:BG24" xr:uid="{97E70B3F-34BF-4EB9-A1CB-D4F79D54F542}"/>
  <tableColumns count="15">
    <tableColumn id="1" xr3:uid="{591E0716-F119-483B-95B3-AD59AAE80674}" name="SL NO."/>
    <tableColumn id="2" xr3:uid="{B5B8CEBA-656D-475C-A193-F6BBF05634E3}" name="EMPLOYEE ID" dataDxfId="512"/>
    <tableColumn id="15" xr3:uid="{AC233252-8B1F-4677-BF9F-87B7681EC9CF}" name="Month" dataDxfId="511">
      <calculatedColumnFormula>$I$4</calculatedColumnFormula>
    </tableColumn>
    <tableColumn id="3" xr3:uid="{E4D77E16-BDFE-4072-8BB2-9B88B6D140D2}" name="EMPLOYEE NAME" dataDxfId="510"/>
    <tableColumn id="4" xr3:uid="{CB49EF99-6708-4B8A-88EB-E42C0CE773A5}" name="Present" dataDxfId="509">
      <calculatedColumnFormula>COUNTIF($J8:$AN8,"P")</calculatedColumnFormula>
    </tableColumn>
    <tableColumn id="5" xr3:uid="{65A7AE0D-1820-477C-80BE-C8E5586ECDA9}" name="Absent" dataDxfId="508">
      <calculatedColumnFormula>COUNTIF($J8:$AN8,"A")</calculatedColumnFormula>
    </tableColumn>
    <tableColumn id="6" xr3:uid="{CFD6E9D8-8514-41CA-9A1E-87B1D7CBE4E6}" name="Leave" dataDxfId="507">
      <calculatedColumnFormula>COUNTIF($J8:$AN8,"L")</calculatedColumnFormula>
    </tableColumn>
    <tableColumn id="7" xr3:uid="{74AAC4C2-5768-4698-A274-6B9F30791E88}" name="Weak Off" dataDxfId="506">
      <calculatedColumnFormula>$I$8</calculatedColumnFormula>
    </tableColumn>
    <tableColumn id="8" xr3:uid="{C1CB89CF-391D-417C-8F0C-A96A32D4F454}" name="Days" dataDxfId="505">
      <calculatedColumnFormula>$H$4</calculatedColumnFormula>
    </tableColumn>
    <tableColumn id="9" xr3:uid="{0AB497B5-3B60-4BDC-82C7-5EAE58183ED4}" name="Paid Days" dataDxfId="504">
      <calculatedColumnFormula>JanMonthlyReport7[[#This Row],[Days]]-JanMonthlyReport7[[#This Row],[Absent]]</calculatedColumnFormula>
    </tableColumn>
    <tableColumn id="10" xr3:uid="{1B7A813A-94CE-453F-80EA-4D9663AAA392}" name="Basic Salary" dataDxfId="503"/>
    <tableColumn id="11" xr3:uid="{8D379BD7-8172-4328-9DDE-778B56376E9F}" name="Per Day Salary" dataDxfId="502">
      <calculatedColumnFormula>JanMonthlyReport7[[#This Row],[Basic Salary]]/JanMonthlyReport7[[#This Row],[Days]]</calculatedColumnFormula>
    </tableColumn>
    <tableColumn id="12" xr3:uid="{69C922BD-A9AB-4B2F-8262-4717FFA59221}" name="Deduction" dataDxfId="501">
      <calculatedColumnFormula>JanMonthlyReport7[[#This Row],[Per Day Salary]]*JanMonthlyReport7[[#This Row],[Absent]]</calculatedColumnFormula>
    </tableColumn>
    <tableColumn id="13" xr3:uid="{553C9966-23D4-4189-BAD5-C2BC3FF9B0A5}" name="Total Salary" dataDxfId="500">
      <calculatedColumnFormula>JanMonthlyReport7[[#This Row],[Basic Salary]]-JanMonthlyReport7[[#This Row],[Deduction]]</calculatedColumnFormula>
    </tableColumn>
    <tableColumn id="14" xr3:uid="{879D20E2-2F33-46C5-B1A9-51FCFB728A28}" name="SpeakLine" dataDxfId="70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022C64-17D6-4D49-A42B-9A5F573577C4}" name="JanMonthlyReport8" displayName="JanMonthlyReport8" ref="AS7:BG24" totalsRowShown="0" headerRowDxfId="494" headerRowBorderDxfId="492" tableBorderDxfId="493">
  <autoFilter ref="AS7:BG24" xr:uid="{8D022C64-17D6-4D49-A42B-9A5F573577C4}"/>
  <tableColumns count="15">
    <tableColumn id="1" xr3:uid="{C3B914CE-9B9C-484E-B8CC-DE2A31151983}" name="SL NO."/>
    <tableColumn id="2" xr3:uid="{57333394-93CE-4471-A18C-69F69AF13D61}" name="EMPLOYEE ID" dataDxfId="491"/>
    <tableColumn id="15" xr3:uid="{B0D35574-5D63-4DCA-8B07-B995F87F5018}" name="Month" dataDxfId="490">
      <calculatedColumnFormula>$I$4</calculatedColumnFormula>
    </tableColumn>
    <tableColumn id="3" xr3:uid="{D893B05A-A8E4-405A-BD85-39E4E7F09ECF}" name="EMPLOYEE NAME" dataDxfId="489"/>
    <tableColumn id="4" xr3:uid="{9DB6C457-798A-49BC-AE2C-03BCA984B75F}" name="Present" dataDxfId="488">
      <calculatedColumnFormula>COUNTIF($J8:$AN8,"P")</calculatedColumnFormula>
    </tableColumn>
    <tableColumn id="5" xr3:uid="{56F8A532-5E51-4C46-B817-EFE0AF01B4AA}" name="Absent" dataDxfId="487">
      <calculatedColumnFormula>COUNTIF($J8:$AN8,"A")</calculatedColumnFormula>
    </tableColumn>
    <tableColumn id="6" xr3:uid="{3F88742B-BBBD-418C-ACEA-A756DB9A0C26}" name="Leave" dataDxfId="486">
      <calculatedColumnFormula>COUNTIF($J8:$AN8,"L")</calculatedColumnFormula>
    </tableColumn>
    <tableColumn id="7" xr3:uid="{2D55BBB5-B07E-4E39-AA27-06321E5260CE}" name="Weak Off" dataDxfId="485">
      <calculatedColumnFormula>$I$8</calculatedColumnFormula>
    </tableColumn>
    <tableColumn id="8" xr3:uid="{D1FFEADC-00FB-4251-BF02-6FA6DAAF9763}" name="Days" dataDxfId="484">
      <calculatedColumnFormula>$H$4</calculatedColumnFormula>
    </tableColumn>
    <tableColumn id="9" xr3:uid="{1CB12007-8F02-48CB-9764-52E53124BDC1}" name="Paid Days" dataDxfId="483">
      <calculatedColumnFormula>JanMonthlyReport8[[#This Row],[Days]]-JanMonthlyReport8[[#This Row],[Absent]]</calculatedColumnFormula>
    </tableColumn>
    <tableColumn id="10" xr3:uid="{5E2F430F-2431-4CB3-B0FE-B18C1DADF6BB}" name="Basic Salary" dataDxfId="482"/>
    <tableColumn id="11" xr3:uid="{1907B743-A92A-44E9-A8DF-7A4A0FFE8AF8}" name="Per Day Salary" dataDxfId="481">
      <calculatedColumnFormula>JanMonthlyReport8[[#This Row],[Basic Salary]]/JanMonthlyReport8[[#This Row],[Days]]</calculatedColumnFormula>
    </tableColumn>
    <tableColumn id="12" xr3:uid="{4E33FE04-A09F-4038-9052-130DA8375C82}" name="Deduction" dataDxfId="480">
      <calculatedColumnFormula>JanMonthlyReport8[[#This Row],[Per Day Salary]]*JanMonthlyReport8[[#This Row],[Absent]]</calculatedColumnFormula>
    </tableColumn>
    <tableColumn id="13" xr3:uid="{6BB14A4A-E769-4C6E-8F44-6F6550A7B371}" name="Total Salary" dataDxfId="479">
      <calculatedColumnFormula>JanMonthlyReport8[[#This Row],[Basic Salary]]-JanMonthlyReport8[[#This Row],[Deduction]]</calculatedColumnFormula>
    </tableColumn>
    <tableColumn id="14" xr3:uid="{7DD1EB3E-5E93-4767-ADA4-2CD33DA8524E}" name="SpeakLine" dataDxfId="478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4B1D485-DBE3-46A7-A6AF-CA97528CB638}" name="JanMonthlyReport9" displayName="JanMonthlyReport9" ref="AS7:BG24" totalsRowShown="0" headerRowDxfId="472" headerRowBorderDxfId="470" tableBorderDxfId="471">
  <autoFilter ref="AS7:BG24" xr:uid="{E4B1D485-DBE3-46A7-A6AF-CA97528CB638}"/>
  <tableColumns count="15">
    <tableColumn id="1" xr3:uid="{AF525F66-8F98-47B7-A56B-9514AC0766DA}" name="SL NO."/>
    <tableColumn id="2" xr3:uid="{37ACA8A0-C727-4462-8436-1A4A9A83AF59}" name="EMPLOYEE ID" dataDxfId="469"/>
    <tableColumn id="15" xr3:uid="{46F43136-4C42-453A-BA4E-BA95C1937A11}" name="Month" dataDxfId="468">
      <calculatedColumnFormula>$I$4</calculatedColumnFormula>
    </tableColumn>
    <tableColumn id="3" xr3:uid="{0016C324-8558-44AD-8A74-4977AD532B71}" name="EMPLOYEE NAME" dataDxfId="467"/>
    <tableColumn id="4" xr3:uid="{F91AF9D1-7F1A-4A6A-917B-D180A6C7A3BB}" name="Present" dataDxfId="466">
      <calculatedColumnFormula>COUNTIF($J8:$AN8,"P")</calculatedColumnFormula>
    </tableColumn>
    <tableColumn id="5" xr3:uid="{2DCC2DB9-CF12-4F76-931E-9A2A395F7B07}" name="Absent" dataDxfId="465">
      <calculatedColumnFormula>COUNTIF($J8:$AN8,"A")</calculatedColumnFormula>
    </tableColumn>
    <tableColumn id="6" xr3:uid="{081D0081-AA46-4561-81A3-54A366C0F460}" name="Leave" dataDxfId="464">
      <calculatedColumnFormula>COUNTIF($J8:$AN8,"L")</calculatedColumnFormula>
    </tableColumn>
    <tableColumn id="7" xr3:uid="{B0F2F699-0FF2-4ED4-AC3F-2E6D95FB756A}" name="Weak Off" dataDxfId="463">
      <calculatedColumnFormula>$I$8</calculatedColumnFormula>
    </tableColumn>
    <tableColumn id="8" xr3:uid="{303FEB57-D2F9-498C-AA72-BC2D703D2ECF}" name="Days" dataDxfId="462">
      <calculatedColumnFormula>$H$4</calculatedColumnFormula>
    </tableColumn>
    <tableColumn id="9" xr3:uid="{077D3C04-24F3-48D0-AC2C-EE1D39D15859}" name="Paid Days" dataDxfId="461">
      <calculatedColumnFormula>JanMonthlyReport9[[#This Row],[Days]]-JanMonthlyReport9[[#This Row],[Absent]]</calculatedColumnFormula>
    </tableColumn>
    <tableColumn id="10" xr3:uid="{EDEA41A8-0B2D-4E0B-B74E-B27CF9EC0073}" name="Basic Salary" dataDxfId="460"/>
    <tableColumn id="11" xr3:uid="{26E8C758-550B-43BB-8D9C-2562C6CF4A14}" name="Per Day Salary" dataDxfId="459">
      <calculatedColumnFormula>JanMonthlyReport9[[#This Row],[Basic Salary]]/JanMonthlyReport9[[#This Row],[Days]]</calculatedColumnFormula>
    </tableColumn>
    <tableColumn id="12" xr3:uid="{2183F461-75AB-4DCB-8525-A4EB2B7CFC42}" name="Deduction" dataDxfId="458">
      <calculatedColumnFormula>JanMonthlyReport9[[#This Row],[Per Day Salary]]*JanMonthlyReport9[[#This Row],[Absent]]</calculatedColumnFormula>
    </tableColumn>
    <tableColumn id="13" xr3:uid="{EBBE0001-8DCC-44D9-B4B0-758C7FB08F6D}" name="Total Salary" dataDxfId="457">
      <calculatedColumnFormula>JanMonthlyReport9[[#This Row],[Basic Salary]]-JanMonthlyReport9[[#This Row],[Deduction]]</calculatedColumnFormula>
    </tableColumn>
    <tableColumn id="14" xr3:uid="{DB375EFB-CD66-4AB5-867B-0CA98159491C}" name="SpeakLine" dataDxfId="456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CC74B3D-645A-4E7F-9378-A5154322079A}" name="JanMonthlyReport10" displayName="JanMonthlyReport10" ref="AS7:BG24" totalsRowShown="0" headerRowDxfId="450" headerRowBorderDxfId="448" tableBorderDxfId="449">
  <autoFilter ref="AS7:BG24" xr:uid="{7CC74B3D-645A-4E7F-9378-A5154322079A}"/>
  <tableColumns count="15">
    <tableColumn id="1" xr3:uid="{F826B865-83C7-4D64-B720-FA934C11213F}" name="SL NO."/>
    <tableColumn id="2" xr3:uid="{38647B99-71A2-49CA-9C94-95308458A598}" name="EMPLOYEE ID" dataDxfId="447"/>
    <tableColumn id="15" xr3:uid="{58DFD77E-AB05-4F05-8470-9440A80517C9}" name="Month" dataDxfId="446">
      <calculatedColumnFormula>$I$4</calculatedColumnFormula>
    </tableColumn>
    <tableColumn id="3" xr3:uid="{14291AF4-7842-4642-BC8B-DE42BF7BF3DB}" name="EMPLOYEE NAME" dataDxfId="445"/>
    <tableColumn id="4" xr3:uid="{44E6D8CC-D2E3-4D20-B67F-14DE3DCE23A1}" name="Present" dataDxfId="444">
      <calculatedColumnFormula>COUNTIF($J8:$AN8,"P")</calculatedColumnFormula>
    </tableColumn>
    <tableColumn id="5" xr3:uid="{71556D43-48D3-44A8-B95B-BC7A7270DE98}" name="Absent" dataDxfId="443">
      <calculatedColumnFormula>COUNTIF($J8:$AN8,"A")</calculatedColumnFormula>
    </tableColumn>
    <tableColumn id="6" xr3:uid="{20A4CC89-3389-4142-A392-D08685F2F54C}" name="Leave" dataDxfId="442">
      <calculatedColumnFormula>COUNTIF($J8:$AN8,"L")</calculatedColumnFormula>
    </tableColumn>
    <tableColumn id="7" xr3:uid="{004A7EED-7DC6-4039-AC09-D5D444C327C0}" name="Weak Off" dataDxfId="441">
      <calculatedColumnFormula>$I$8</calculatedColumnFormula>
    </tableColumn>
    <tableColumn id="8" xr3:uid="{7391A4AF-948F-48E0-9F3E-67C1409145FF}" name="Days" dataDxfId="440">
      <calculatedColumnFormula>$H$4</calculatedColumnFormula>
    </tableColumn>
    <tableColumn id="9" xr3:uid="{DEB2CC21-3ABD-478B-891E-FE9C4DD4BDBB}" name="Paid Days" dataDxfId="439">
      <calculatedColumnFormula>JanMonthlyReport10[[#This Row],[Days]]-JanMonthlyReport10[[#This Row],[Absent]]</calculatedColumnFormula>
    </tableColumn>
    <tableColumn id="10" xr3:uid="{B3481533-6419-400F-B393-5F28B977C31F}" name="Basic Salary" dataDxfId="438"/>
    <tableColumn id="11" xr3:uid="{901452E2-E2AF-4970-905C-73A3CC262B26}" name="Per Day Salary" dataDxfId="437">
      <calculatedColumnFormula>JanMonthlyReport10[[#This Row],[Basic Salary]]/JanMonthlyReport10[[#This Row],[Days]]</calculatedColumnFormula>
    </tableColumn>
    <tableColumn id="12" xr3:uid="{CE061298-4F73-4E9B-A0F9-9CACBF9CA9D1}" name="Deduction" dataDxfId="436">
      <calculatedColumnFormula>JanMonthlyReport10[[#This Row],[Per Day Salary]]*JanMonthlyReport10[[#This Row],[Absent]]</calculatedColumnFormula>
    </tableColumn>
    <tableColumn id="13" xr3:uid="{BEA720B6-75CC-4F6C-91B0-3927F7AC4B79}" name="Total Salary" dataDxfId="435">
      <calculatedColumnFormula>JanMonthlyReport10[[#This Row],[Basic Salary]]-JanMonthlyReport10[[#This Row],[Deduction]]</calculatedColumnFormula>
    </tableColumn>
    <tableColumn id="14" xr3:uid="{058B5575-BA4B-43DA-B298-53CF9F386949}" name="SpeakLine" dataDxfId="434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79F0B87-4586-47BD-B016-685AC3B84F0E}" name="JanMonthlyReport11" displayName="JanMonthlyReport11" ref="AS7:BG24" totalsRowShown="0" headerRowDxfId="428" headerRowBorderDxfId="426" tableBorderDxfId="427">
  <autoFilter ref="AS7:BG24" xr:uid="{D79F0B87-4586-47BD-B016-685AC3B84F0E}"/>
  <tableColumns count="15">
    <tableColumn id="1" xr3:uid="{9216376C-6F5F-428B-B5D4-A54FF407CC17}" name="SL NO."/>
    <tableColumn id="2" xr3:uid="{D624DB40-A9FF-43D0-9C6C-367F8F17997F}" name="EMPLOYEE ID" dataDxfId="425"/>
    <tableColumn id="15" xr3:uid="{BE04267E-90E8-4646-9D5E-2A33A5708D00}" name="Month" dataDxfId="424">
      <calculatedColumnFormula>$I$4</calculatedColumnFormula>
    </tableColumn>
    <tableColumn id="3" xr3:uid="{C58AA1C6-E37E-44BD-A197-E29464F82E57}" name="EMPLOYEE NAME" dataDxfId="423"/>
    <tableColumn id="4" xr3:uid="{56A207CF-E66C-4487-AE63-510600D80E61}" name="Present" dataDxfId="422">
      <calculatedColumnFormula>COUNTIF($J8:$AN8,"P")</calculatedColumnFormula>
    </tableColumn>
    <tableColumn id="5" xr3:uid="{9E92A6CE-4FE5-4DC4-9F85-93BD1BB3FA20}" name="Absent" dataDxfId="421">
      <calculatedColumnFormula>COUNTIF($J8:$AN8,"A")</calculatedColumnFormula>
    </tableColumn>
    <tableColumn id="6" xr3:uid="{D6A34795-D60E-489E-966F-015960DA19D4}" name="Leave" dataDxfId="420">
      <calculatedColumnFormula>COUNTIF($J8:$AN8,"L")</calculatedColumnFormula>
    </tableColumn>
    <tableColumn id="7" xr3:uid="{05780949-C9B8-4F8F-85A0-499556E5DA9A}" name="Weak Off" dataDxfId="419">
      <calculatedColumnFormula>$I$8</calculatedColumnFormula>
    </tableColumn>
    <tableColumn id="8" xr3:uid="{63810E59-3895-4CB9-A2D8-B6DA3E738257}" name="Days" dataDxfId="418">
      <calculatedColumnFormula>$H$4</calculatedColumnFormula>
    </tableColumn>
    <tableColumn id="9" xr3:uid="{332E3D7E-7A5E-4DFE-AE27-2E84729A3D2A}" name="Paid Days" dataDxfId="417">
      <calculatedColumnFormula>JanMonthlyReport11[[#This Row],[Days]]-JanMonthlyReport11[[#This Row],[Absent]]</calculatedColumnFormula>
    </tableColumn>
    <tableColumn id="10" xr3:uid="{AE774748-45C5-4754-9ACA-F994BAEBB7D3}" name="Basic Salary" dataDxfId="416"/>
    <tableColumn id="11" xr3:uid="{1342E449-A655-4487-B551-9BD8216CB930}" name="Per Day Salary" dataDxfId="415">
      <calculatedColumnFormula>JanMonthlyReport11[[#This Row],[Basic Salary]]/JanMonthlyReport11[[#This Row],[Days]]</calculatedColumnFormula>
    </tableColumn>
    <tableColumn id="12" xr3:uid="{901F4BE0-B435-4457-BBE1-F238AA01B710}" name="Deduction" dataDxfId="414">
      <calculatedColumnFormula>JanMonthlyReport11[[#This Row],[Per Day Salary]]*JanMonthlyReport11[[#This Row],[Absent]]</calculatedColumnFormula>
    </tableColumn>
    <tableColumn id="13" xr3:uid="{7880B0F3-FA67-4E86-B380-EA95B844F9DB}" name="Total Salary" dataDxfId="413">
      <calculatedColumnFormula>JanMonthlyReport11[[#This Row],[Basic Salary]]-JanMonthlyReport11[[#This Row],[Deduction]]</calculatedColumnFormula>
    </tableColumn>
    <tableColumn id="14" xr3:uid="{41EF6319-0EBF-4CE7-BBBD-57208D6F8823}" name="SpeakLine" dataDxfId="412"/>
  </tableColumns>
  <tableStyleInfo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C400D7-103A-45A4-B2AB-4B14666BEAA4}" name="JanMonthlyReport12" displayName="JanMonthlyReport12" ref="AS7:BG24" totalsRowShown="0" headerRowDxfId="406" headerRowBorderDxfId="404" tableBorderDxfId="405">
  <autoFilter ref="AS7:BG24" xr:uid="{00C400D7-103A-45A4-B2AB-4B14666BEAA4}"/>
  <tableColumns count="15">
    <tableColumn id="1" xr3:uid="{54B90A84-89C3-4064-99BF-5C0282F60919}" name="SL NO."/>
    <tableColumn id="2" xr3:uid="{C29CC254-16BF-4B12-8077-4E1C7DF8D461}" name="EMPLOYEE ID" dataDxfId="403"/>
    <tableColumn id="15" xr3:uid="{C50F4C66-E3AA-4F53-B7A7-71947A7A3D94}" name="Month" dataDxfId="402">
      <calculatedColumnFormula>$I$4</calculatedColumnFormula>
    </tableColumn>
    <tableColumn id="3" xr3:uid="{C7BEEB8C-AB38-4769-BF31-01B3AEB58695}" name="EMPLOYEE NAME" dataDxfId="401"/>
    <tableColumn id="4" xr3:uid="{43E1BB00-EE8A-47E8-8A5D-6033B663EC8E}" name="Present" dataDxfId="400">
      <calculatedColumnFormula>COUNTIF($J8:$AN8,"P")</calculatedColumnFormula>
    </tableColumn>
    <tableColumn id="5" xr3:uid="{F41CF0CA-2E51-4A35-92E0-169A28532CA6}" name="Absent" dataDxfId="399">
      <calculatedColumnFormula>COUNTIF($J8:$AN8,"A")</calculatedColumnFormula>
    </tableColumn>
    <tableColumn id="6" xr3:uid="{E4896649-57C0-472E-ACD6-85C1CDD1CA9D}" name="Leave" dataDxfId="398">
      <calculatedColumnFormula>COUNTIF($J8:$AN8,"L")</calculatedColumnFormula>
    </tableColumn>
    <tableColumn id="7" xr3:uid="{048462D5-8E5A-4AD6-846E-928E6A9F2DF3}" name="Weak Off" dataDxfId="397">
      <calculatedColumnFormula>$I$8</calculatedColumnFormula>
    </tableColumn>
    <tableColumn id="8" xr3:uid="{00B4BE1D-D735-431C-AFD3-DBD56F9CE112}" name="Days" dataDxfId="396">
      <calculatedColumnFormula>$H$4</calculatedColumnFormula>
    </tableColumn>
    <tableColumn id="9" xr3:uid="{D2CD6E2D-6CC3-46AE-9454-1581309F9B03}" name="Paid Days" dataDxfId="395">
      <calculatedColumnFormula>JanMonthlyReport12[[#This Row],[Days]]-JanMonthlyReport12[[#This Row],[Absent]]</calculatedColumnFormula>
    </tableColumn>
    <tableColumn id="10" xr3:uid="{B65AE794-5980-4886-A0E6-BD5E8F1307BD}" name="Basic Salary" dataDxfId="394"/>
    <tableColumn id="11" xr3:uid="{1AACA0AA-48F5-4FED-BDF0-ADD4E926D3A8}" name="Per Day Salary" dataDxfId="393">
      <calculatedColumnFormula>JanMonthlyReport12[[#This Row],[Basic Salary]]/JanMonthlyReport12[[#This Row],[Days]]</calculatedColumnFormula>
    </tableColumn>
    <tableColumn id="12" xr3:uid="{74786312-1EAA-44CB-929D-FE31415CACA1}" name="Deduction" dataDxfId="392">
      <calculatedColumnFormula>JanMonthlyReport12[[#This Row],[Per Day Salary]]*JanMonthlyReport12[[#This Row],[Absent]]</calculatedColumnFormula>
    </tableColumn>
    <tableColumn id="13" xr3:uid="{0508DE58-B770-4D8A-A2E4-BCEEEE2368F8}" name="Total Salary" dataDxfId="391">
      <calculatedColumnFormula>JanMonthlyReport12[[#This Row],[Basic Salary]]-JanMonthlyReport12[[#This Row],[Deduction]]</calculatedColumnFormula>
    </tableColumn>
    <tableColumn id="14" xr3:uid="{6096B72F-F503-45A3-ABFB-42007A672981}" name="SpeakLine" dataDxfId="390"/>
  </tableColumns>
  <tableStyleInfo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F71B2C-DDE0-435A-B203-4AE2385855A8}" name="JanMonthlyReport13" displayName="JanMonthlyReport13" ref="AS7:BG24" totalsRowShown="0" headerRowDxfId="384" headerRowBorderDxfId="382" tableBorderDxfId="383">
  <autoFilter ref="AS7:BG24" xr:uid="{4DF71B2C-DDE0-435A-B203-4AE2385855A8}"/>
  <tableColumns count="15">
    <tableColumn id="1" xr3:uid="{C2FA3AA1-7FB6-43DB-A5B5-983D840D614A}" name="SL NO."/>
    <tableColumn id="2" xr3:uid="{E6A268AD-0268-42F9-A5FE-6B466328740F}" name="EMPLOYEE ID" dataDxfId="381"/>
    <tableColumn id="15" xr3:uid="{BAC23E24-F812-4B8B-9210-7B563F4C897D}" name="Month" dataDxfId="380">
      <calculatedColumnFormula>$I$4</calculatedColumnFormula>
    </tableColumn>
    <tableColumn id="3" xr3:uid="{95D42E6F-7433-4EFE-9B96-8627EDCDD5AF}" name="EMPLOYEE NAME" dataDxfId="379"/>
    <tableColumn id="4" xr3:uid="{F7E3DCFF-A3BE-4568-974F-B2F3769219F5}" name="Present" dataDxfId="378">
      <calculatedColumnFormula>COUNTIF($J8:$AN8,"P")</calculatedColumnFormula>
    </tableColumn>
    <tableColumn id="5" xr3:uid="{7233574A-213A-4572-B4A3-A1F2A1091CC4}" name="Absent" dataDxfId="377">
      <calculatedColumnFormula>COUNTIF($J8:$AN8,"A")</calculatedColumnFormula>
    </tableColumn>
    <tableColumn id="6" xr3:uid="{57CDFC9C-5159-438E-A2E8-43AB30B358B3}" name="Leave" dataDxfId="376">
      <calculatedColumnFormula>COUNTIF($J8:$AN8,"L")</calculatedColumnFormula>
    </tableColumn>
    <tableColumn id="7" xr3:uid="{F650B644-EA2D-4DAA-8888-95807D067763}" name="Weak Off" dataDxfId="375">
      <calculatedColumnFormula>$I$8</calculatedColumnFormula>
    </tableColumn>
    <tableColumn id="8" xr3:uid="{FEFC13F5-38B5-4598-BC6A-F1C9E7035805}" name="Days" dataDxfId="374">
      <calculatedColumnFormula>$H$4</calculatedColumnFormula>
    </tableColumn>
    <tableColumn id="9" xr3:uid="{6675B04C-6AAE-401B-9D7A-8AD14CD4C0AF}" name="Paid Days" dataDxfId="373">
      <calculatedColumnFormula>JanMonthlyReport13[[#This Row],[Days]]-JanMonthlyReport13[[#This Row],[Absent]]</calculatedColumnFormula>
    </tableColumn>
    <tableColumn id="10" xr3:uid="{94FA5837-A153-4BC7-A13F-657B6ADD37A1}" name="Basic Salary" dataDxfId="372"/>
    <tableColumn id="11" xr3:uid="{2D189389-EFD0-4B5B-B780-077555198EE1}" name="Per Day Salary" dataDxfId="371">
      <calculatedColumnFormula>JanMonthlyReport13[[#This Row],[Basic Salary]]/JanMonthlyReport13[[#This Row],[Days]]</calculatedColumnFormula>
    </tableColumn>
    <tableColumn id="12" xr3:uid="{FEA4DD3A-40AC-4DB4-B634-E78105337C62}" name="Deduction" dataDxfId="370">
      <calculatedColumnFormula>JanMonthlyReport13[[#This Row],[Per Day Salary]]*JanMonthlyReport13[[#This Row],[Absent]]</calculatedColumnFormula>
    </tableColumn>
    <tableColumn id="13" xr3:uid="{53520C0A-AD7D-47D2-8843-69E9E6238C2E}" name="Total Salary" dataDxfId="369">
      <calculatedColumnFormula>JanMonthlyReport13[[#This Row],[Basic Salary]]-JanMonthlyReport13[[#This Row],[Deduction]]</calculatedColumnFormula>
    </tableColumn>
    <tableColumn id="14" xr3:uid="{50DC2DC5-DD4B-46B3-8361-F8830A23CFAA}" name="SpeakLine" dataDxfId="368"/>
  </tableColumns>
  <tableStyleInfo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54BEC73-E858-447E-8E3C-D27E1F01449A}" name="JanMonthlyReport14" displayName="JanMonthlyReport14" ref="AS7:BG24" totalsRowShown="0" headerRowDxfId="362" headerRowBorderDxfId="360" tableBorderDxfId="361">
  <autoFilter ref="AS7:BG24" xr:uid="{554BEC73-E858-447E-8E3C-D27E1F01449A}"/>
  <tableColumns count="15">
    <tableColumn id="1" xr3:uid="{8C59931E-D0CC-4CC7-8B2D-5C3A640C6A44}" name="SL NO."/>
    <tableColumn id="2" xr3:uid="{EBCEF4BD-C6A9-4591-A16D-60D87FC2B526}" name="EMPLOYEE ID" dataDxfId="359"/>
    <tableColumn id="15" xr3:uid="{0224209F-9655-4EB3-B29E-E92E2EED4A8F}" name="Month" dataDxfId="358">
      <calculatedColumnFormula>$I$4</calculatedColumnFormula>
    </tableColumn>
    <tableColumn id="3" xr3:uid="{6624AEEA-8159-489D-B258-262A69C538D3}" name="EMPLOYEE NAME" dataDxfId="357"/>
    <tableColumn id="4" xr3:uid="{2DD299F4-805A-45C7-A024-710F6FE99334}" name="Present" dataDxfId="356">
      <calculatedColumnFormula>COUNTIF($J8:$AN8,"P")</calculatedColumnFormula>
    </tableColumn>
    <tableColumn id="5" xr3:uid="{ACEF7278-9E20-4FEC-A101-BB4CE885B608}" name="Absent" dataDxfId="355">
      <calculatedColumnFormula>COUNTIF($J8:$AN8,"A")</calculatedColumnFormula>
    </tableColumn>
    <tableColumn id="6" xr3:uid="{B57C1BFF-DA9C-426F-AB0C-52038E8CEE1E}" name="Leave" dataDxfId="354">
      <calculatedColumnFormula>COUNTIF($J8:$AN8,"L")</calculatedColumnFormula>
    </tableColumn>
    <tableColumn id="7" xr3:uid="{E6ECCB72-408E-485E-9C59-ACC6386E330C}" name="Weak Off" dataDxfId="353">
      <calculatedColumnFormula>$I$8</calculatedColumnFormula>
    </tableColumn>
    <tableColumn id="8" xr3:uid="{B01EE826-E673-4BB7-9F7F-D2478D23BBEA}" name="Days" dataDxfId="352">
      <calculatedColumnFormula>$H$4</calculatedColumnFormula>
    </tableColumn>
    <tableColumn id="9" xr3:uid="{1C690C7B-DE04-4565-BE44-3D9AA3364A2C}" name="Paid Days" dataDxfId="351">
      <calculatedColumnFormula>JanMonthlyReport14[[#This Row],[Days]]-JanMonthlyReport14[[#This Row],[Absent]]</calculatedColumnFormula>
    </tableColumn>
    <tableColumn id="10" xr3:uid="{830067C2-6909-4103-BAB7-608B0A4081C8}" name="Basic Salary" dataDxfId="350"/>
    <tableColumn id="11" xr3:uid="{2A7ADDD6-CDB9-43DE-921B-080079DB46BF}" name="Per Day Salary" dataDxfId="349">
      <calculatedColumnFormula>JanMonthlyReport14[[#This Row],[Basic Salary]]/JanMonthlyReport14[[#This Row],[Days]]</calculatedColumnFormula>
    </tableColumn>
    <tableColumn id="12" xr3:uid="{326BFB04-5115-4F92-A2FA-6EE10A8A0D0D}" name="Deduction" dataDxfId="348">
      <calculatedColumnFormula>JanMonthlyReport14[[#This Row],[Per Day Salary]]*JanMonthlyReport14[[#This Row],[Absent]]</calculatedColumnFormula>
    </tableColumn>
    <tableColumn id="13" xr3:uid="{D046396B-5E82-465A-9C3C-6B57A8A3BE04}" name="Total Salary" dataDxfId="347">
      <calculatedColumnFormula>JanMonthlyReport14[[#This Row],[Basic Salary]]-JanMonthlyReport14[[#This Row],[Deduction]]</calculatedColumnFormula>
    </tableColumn>
    <tableColumn id="14" xr3:uid="{43F71236-4B89-4FB7-9EE1-330C3371C923}" name="SpeakLine" dataDxfId="346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31CB-B590-4C68-8524-1DD4DBDF14EA}">
  <dimension ref="A1:F18"/>
  <sheetViews>
    <sheetView tabSelected="1" topLeftCell="A8" workbookViewId="0">
      <selection activeCell="F19" sqref="F19"/>
    </sheetView>
  </sheetViews>
  <sheetFormatPr defaultRowHeight="15" x14ac:dyDescent="0.25"/>
  <cols>
    <col min="1" max="1" width="8.5703125" customWidth="1"/>
    <col min="2" max="2" width="20.42578125" bestFit="1" customWidth="1"/>
    <col min="3" max="3" width="14.2851562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1</v>
      </c>
      <c r="B2" s="5" t="s">
        <v>3</v>
      </c>
      <c r="C2" s="6" t="s">
        <v>20</v>
      </c>
    </row>
    <row r="3" spans="1:3" x14ac:dyDescent="0.25">
      <c r="A3" s="4">
        <v>2</v>
      </c>
      <c r="B3" s="5" t="s">
        <v>4</v>
      </c>
      <c r="C3" s="6" t="s">
        <v>21</v>
      </c>
    </row>
    <row r="4" spans="1:3" x14ac:dyDescent="0.25">
      <c r="A4" s="4">
        <v>3</v>
      </c>
      <c r="B4" s="5" t="s">
        <v>5</v>
      </c>
      <c r="C4" s="6" t="s">
        <v>22</v>
      </c>
    </row>
    <row r="5" spans="1:3" x14ac:dyDescent="0.25">
      <c r="A5" s="4">
        <v>4</v>
      </c>
      <c r="B5" s="5" t="s">
        <v>6</v>
      </c>
      <c r="C5" s="6" t="s">
        <v>23</v>
      </c>
    </row>
    <row r="6" spans="1:3" x14ac:dyDescent="0.25">
      <c r="A6" s="4">
        <v>5</v>
      </c>
      <c r="B6" s="5" t="s">
        <v>7</v>
      </c>
      <c r="C6" s="6" t="s">
        <v>24</v>
      </c>
    </row>
    <row r="7" spans="1:3" x14ac:dyDescent="0.25">
      <c r="A7" s="4">
        <v>6</v>
      </c>
      <c r="B7" s="5" t="s">
        <v>8</v>
      </c>
      <c r="C7" s="6" t="s">
        <v>25</v>
      </c>
    </row>
    <row r="8" spans="1:3" x14ac:dyDescent="0.25">
      <c r="A8" s="4">
        <v>7</v>
      </c>
      <c r="B8" s="5" t="s">
        <v>9</v>
      </c>
      <c r="C8" s="6" t="s">
        <v>26</v>
      </c>
    </row>
    <row r="9" spans="1:3" x14ac:dyDescent="0.25">
      <c r="A9" s="4">
        <v>8</v>
      </c>
      <c r="B9" s="5" t="s">
        <v>11</v>
      </c>
      <c r="C9" s="6" t="s">
        <v>27</v>
      </c>
    </row>
    <row r="10" spans="1:3" x14ac:dyDescent="0.25">
      <c r="A10" s="4">
        <v>9</v>
      </c>
      <c r="B10" s="5" t="s">
        <v>10</v>
      </c>
      <c r="C10" s="6" t="s">
        <v>28</v>
      </c>
    </row>
    <row r="11" spans="1:3" x14ac:dyDescent="0.25">
      <c r="A11" s="4">
        <v>10</v>
      </c>
      <c r="B11" s="5" t="s">
        <v>12</v>
      </c>
      <c r="C11" s="6" t="s">
        <v>29</v>
      </c>
    </row>
    <row r="12" spans="1:3" x14ac:dyDescent="0.25">
      <c r="A12" s="4">
        <v>11</v>
      </c>
      <c r="B12" s="5" t="s">
        <v>13</v>
      </c>
      <c r="C12" s="6" t="s">
        <v>30</v>
      </c>
    </row>
    <row r="13" spans="1:3" x14ac:dyDescent="0.25">
      <c r="A13" s="4">
        <v>12</v>
      </c>
      <c r="B13" s="5" t="s">
        <v>14</v>
      </c>
      <c r="C13" s="6" t="s">
        <v>31</v>
      </c>
    </row>
    <row r="14" spans="1:3" x14ac:dyDescent="0.25">
      <c r="A14" s="4">
        <v>13</v>
      </c>
      <c r="B14" s="5" t="s">
        <v>15</v>
      </c>
      <c r="C14" s="6" t="s">
        <v>32</v>
      </c>
    </row>
    <row r="15" spans="1:3" x14ac:dyDescent="0.25">
      <c r="A15" s="4">
        <v>14</v>
      </c>
      <c r="B15" s="5" t="s">
        <v>16</v>
      </c>
      <c r="C15" s="6" t="s">
        <v>33</v>
      </c>
    </row>
    <row r="16" spans="1:3" x14ac:dyDescent="0.25">
      <c r="A16" s="4">
        <v>15</v>
      </c>
      <c r="B16" s="5" t="s">
        <v>17</v>
      </c>
      <c r="C16" s="6" t="s">
        <v>34</v>
      </c>
    </row>
    <row r="17" spans="1:6" x14ac:dyDescent="0.25">
      <c r="A17" s="4">
        <v>16</v>
      </c>
      <c r="B17" s="5" t="s">
        <v>18</v>
      </c>
      <c r="C17" s="6" t="s">
        <v>35</v>
      </c>
    </row>
    <row r="18" spans="1:6" x14ac:dyDescent="0.25">
      <c r="A18" s="7">
        <v>17</v>
      </c>
      <c r="B18" s="8" t="s">
        <v>19</v>
      </c>
      <c r="C18" s="9" t="s">
        <v>36</v>
      </c>
      <c r="F18" s="45">
        <v>8.8090277777777781E-2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31C6-DD62-4B9B-96C6-47BDAE808B6D}">
  <dimension ref="A1:BH36"/>
  <sheetViews>
    <sheetView topLeftCell="A4" zoomScaleNormal="100" workbookViewId="0">
      <selection activeCell="P9" sqref="P9"/>
    </sheetView>
  </sheetViews>
  <sheetFormatPr defaultRowHeight="15" x14ac:dyDescent="0.25"/>
  <cols>
    <col min="1" max="5" width="9.140625" style="37"/>
    <col min="6" max="6" width="8.28515625" style="37" bestFit="1" customWidth="1"/>
    <col min="7" max="7" width="14.7109375" style="37" bestFit="1" customWidth="1"/>
    <col min="8" max="8" width="24" style="37" bestFit="1" customWidth="1"/>
    <col min="9" max="9" width="9.85546875" style="37" bestFit="1" customWidth="1"/>
    <col min="10" max="10" width="8.42578125" style="37" bestFit="1" customWidth="1"/>
    <col min="11" max="11" width="6.42578125" style="37" customWidth="1"/>
    <col min="12" max="12" width="5.85546875" style="37" bestFit="1" customWidth="1"/>
    <col min="13" max="13" width="6.42578125" style="37" bestFit="1" customWidth="1"/>
    <col min="14" max="14" width="6.5703125" style="37" bestFit="1" customWidth="1"/>
    <col min="15" max="15" width="6.140625" style="37" bestFit="1" customWidth="1"/>
    <col min="16" max="16" width="6.85546875" style="37" bestFit="1" customWidth="1"/>
    <col min="17" max="17" width="6.140625" style="37" bestFit="1" customWidth="1"/>
    <col min="18" max="18" width="4.7109375" style="37" bestFit="1" customWidth="1"/>
    <col min="19" max="19" width="5.85546875" style="37" bestFit="1" customWidth="1"/>
    <col min="20" max="20" width="6.42578125" style="37" bestFit="1" customWidth="1"/>
    <col min="21" max="21" width="6.5703125" style="37" bestFit="1" customWidth="1"/>
    <col min="22" max="22" width="6.140625" style="37" bestFit="1" customWidth="1"/>
    <col min="23" max="23" width="6.85546875" style="37" bestFit="1" customWidth="1"/>
    <col min="24" max="24" width="6.140625" style="37" bestFit="1" customWidth="1"/>
    <col min="25" max="25" width="4.7109375" style="37" bestFit="1" customWidth="1"/>
    <col min="26" max="26" width="5.85546875" style="37" bestFit="1" customWidth="1"/>
    <col min="27" max="27" width="6.42578125" style="37" bestFit="1" customWidth="1"/>
    <col min="28" max="28" width="6.5703125" style="37" bestFit="1" customWidth="1"/>
    <col min="29" max="29" width="6.140625" style="37" bestFit="1" customWidth="1"/>
    <col min="30" max="30" width="6.85546875" style="37" bestFit="1" customWidth="1"/>
    <col min="31" max="31" width="6.140625" style="37" bestFit="1" customWidth="1"/>
    <col min="32" max="32" width="4.7109375" style="37" bestFit="1" customWidth="1"/>
    <col min="33" max="33" width="5.85546875" style="37" bestFit="1" customWidth="1"/>
    <col min="34" max="34" width="6.42578125" style="37" bestFit="1" customWidth="1"/>
    <col min="35" max="35" width="6.5703125" style="37" bestFit="1" customWidth="1"/>
    <col min="36" max="36" width="6.140625" style="37" bestFit="1" customWidth="1"/>
    <col min="37" max="37" width="6.85546875" style="37" bestFit="1" customWidth="1"/>
    <col min="38" max="38" width="6.140625" style="37" bestFit="1" customWidth="1"/>
    <col min="39" max="39" width="4.5703125" style="37" bestFit="1" customWidth="1"/>
    <col min="40" max="40" width="5.7109375" style="37" bestFit="1" customWidth="1"/>
    <col min="41" max="44" width="9.140625" style="37"/>
    <col min="45" max="45" width="9.140625" style="37" customWidth="1"/>
    <col min="46" max="47" width="15.140625" style="37" customWidth="1"/>
    <col min="48" max="48" width="21.5703125" style="37" bestFit="1" customWidth="1"/>
    <col min="49" max="49" width="9.85546875" style="37" customWidth="1"/>
    <col min="50" max="50" width="9.28515625" style="37" customWidth="1"/>
    <col min="51" max="51" width="8.42578125" style="37" customWidth="1"/>
    <col min="52" max="52" width="11.85546875" style="37" customWidth="1"/>
    <col min="53" max="53" width="7.7109375" style="37" customWidth="1"/>
    <col min="54" max="54" width="12" style="37" customWidth="1"/>
    <col min="55" max="55" width="14" style="37" customWidth="1"/>
    <col min="56" max="56" width="16.28515625" style="37" customWidth="1"/>
    <col min="57" max="57" width="12.5703125" style="37" bestFit="1" customWidth="1"/>
    <col min="58" max="58" width="13.7109375" style="37" customWidth="1"/>
    <col min="59" max="59" width="21.28515625" style="37" customWidth="1"/>
    <col min="60" max="16384" width="9.140625" style="37"/>
  </cols>
  <sheetData>
    <row r="1" spans="1:6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6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60" x14ac:dyDescent="0.25">
      <c r="A3"/>
      <c r="B3"/>
    </row>
    <row r="4" spans="1:60" x14ac:dyDescent="0.25">
      <c r="A4"/>
      <c r="B4"/>
      <c r="C4"/>
      <c r="D4"/>
      <c r="E4" s="39"/>
      <c r="F4" s="39" t="s">
        <v>41</v>
      </c>
      <c r="G4" s="40">
        <v>46023</v>
      </c>
      <c r="H4" s="41">
        <f>DATEDIF($G$4,$K$4,"D")+1</f>
        <v>31</v>
      </c>
      <c r="I4" s="39" t="str">
        <f>TEXT(G4,"MMMM")</f>
        <v>January</v>
      </c>
      <c r="J4" s="39" t="s">
        <v>42</v>
      </c>
      <c r="K4" s="40">
        <f>EOMONTH(G4,0)</f>
        <v>46053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60" ht="15.75" thickBot="1" x14ac:dyDescent="0.3">
      <c r="A5"/>
      <c r="B5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</row>
    <row r="6" spans="1:60" x14ac:dyDescent="0.25">
      <c r="A6"/>
      <c r="B6"/>
      <c r="E6" s="39"/>
      <c r="F6" s="46" t="s">
        <v>44</v>
      </c>
      <c r="G6" s="47"/>
      <c r="H6" s="48"/>
      <c r="I6" s="27" t="s">
        <v>43</v>
      </c>
      <c r="J6" s="28" t="str">
        <f>TEXT(J7,"DDD")</f>
        <v>Thu</v>
      </c>
      <c r="K6" s="28" t="str">
        <f t="shared" ref="K6:AN6" si="0">TEXT(K7,"DDD")</f>
        <v>Fri</v>
      </c>
      <c r="L6" s="28" t="str">
        <f t="shared" si="0"/>
        <v>Sat</v>
      </c>
      <c r="M6" s="28" t="str">
        <f t="shared" si="0"/>
        <v>Sun</v>
      </c>
      <c r="N6" s="28" t="str">
        <f t="shared" si="0"/>
        <v>Mon</v>
      </c>
      <c r="O6" s="28" t="str">
        <f t="shared" si="0"/>
        <v>Tue</v>
      </c>
      <c r="P6" s="28" t="str">
        <f t="shared" si="0"/>
        <v>Wed</v>
      </c>
      <c r="Q6" s="28" t="str">
        <f t="shared" si="0"/>
        <v>Thu</v>
      </c>
      <c r="R6" s="28" t="str">
        <f t="shared" si="0"/>
        <v>Fri</v>
      </c>
      <c r="S6" s="28" t="str">
        <f t="shared" si="0"/>
        <v>Sat</v>
      </c>
      <c r="T6" s="28" t="str">
        <f t="shared" si="0"/>
        <v>Sun</v>
      </c>
      <c r="U6" s="28" t="str">
        <f t="shared" si="0"/>
        <v>Mon</v>
      </c>
      <c r="V6" s="28" t="str">
        <f t="shared" si="0"/>
        <v>Tue</v>
      </c>
      <c r="W6" s="28" t="str">
        <f t="shared" si="0"/>
        <v>Wed</v>
      </c>
      <c r="X6" s="28" t="str">
        <f t="shared" si="0"/>
        <v>Thu</v>
      </c>
      <c r="Y6" s="28" t="str">
        <f t="shared" si="0"/>
        <v>Fri</v>
      </c>
      <c r="Z6" s="28" t="str">
        <f t="shared" si="0"/>
        <v>Sat</v>
      </c>
      <c r="AA6" s="28" t="str">
        <f t="shared" si="0"/>
        <v>Sun</v>
      </c>
      <c r="AB6" s="28" t="str">
        <f t="shared" si="0"/>
        <v>Mon</v>
      </c>
      <c r="AC6" s="28" t="str">
        <f t="shared" si="0"/>
        <v>Tue</v>
      </c>
      <c r="AD6" s="28" t="str">
        <f t="shared" si="0"/>
        <v>Wed</v>
      </c>
      <c r="AE6" s="28" t="str">
        <f t="shared" si="0"/>
        <v>Thu</v>
      </c>
      <c r="AF6" s="28" t="str">
        <f t="shared" si="0"/>
        <v>Fri</v>
      </c>
      <c r="AG6" s="28" t="str">
        <f t="shared" si="0"/>
        <v>Sat</v>
      </c>
      <c r="AH6" s="28" t="str">
        <f t="shared" si="0"/>
        <v>Sun</v>
      </c>
      <c r="AI6" s="28" t="str">
        <f t="shared" si="0"/>
        <v>Mon</v>
      </c>
      <c r="AJ6" s="28" t="str">
        <f t="shared" si="0"/>
        <v>Tue</v>
      </c>
      <c r="AK6" s="28" t="str">
        <f t="shared" si="0"/>
        <v>Wed</v>
      </c>
      <c r="AL6" s="28" t="str">
        <f t="shared" si="0"/>
        <v>Thu</v>
      </c>
      <c r="AM6" s="28" t="str">
        <f t="shared" si="0"/>
        <v>Fri</v>
      </c>
      <c r="AN6" s="29" t="str">
        <f t="shared" si="0"/>
        <v>Sat</v>
      </c>
      <c r="AO6" s="42" t="str">
        <f>IF(AN7 &lt; $K$4,AN7+1,"")</f>
        <v/>
      </c>
      <c r="AP6" s="38"/>
      <c r="AQ6" s="38"/>
      <c r="AR6" s="44"/>
      <c r="AS6" s="44"/>
      <c r="AT6" s="44"/>
      <c r="AU6" s="44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</row>
    <row r="7" spans="1:60" ht="15.75" thickBot="1" x14ac:dyDescent="0.3">
      <c r="A7"/>
      <c r="B7"/>
      <c r="E7" s="39"/>
      <c r="F7" s="30" t="s">
        <v>37</v>
      </c>
      <c r="G7" s="12" t="s">
        <v>38</v>
      </c>
      <c r="H7" s="13" t="s">
        <v>39</v>
      </c>
      <c r="I7" s="16" t="s">
        <v>40</v>
      </c>
      <c r="J7" s="17">
        <f>G4</f>
        <v>46023</v>
      </c>
      <c r="K7" s="17">
        <f t="shared" ref="K7:AN7" si="1">IF(J7 &lt; $K$4,J7+1,"")</f>
        <v>46024</v>
      </c>
      <c r="L7" s="17">
        <f t="shared" si="1"/>
        <v>46025</v>
      </c>
      <c r="M7" s="17">
        <f t="shared" si="1"/>
        <v>46026</v>
      </c>
      <c r="N7" s="17">
        <f t="shared" si="1"/>
        <v>46027</v>
      </c>
      <c r="O7" s="17">
        <f t="shared" si="1"/>
        <v>46028</v>
      </c>
      <c r="P7" s="17">
        <f t="shared" si="1"/>
        <v>46029</v>
      </c>
      <c r="Q7" s="17">
        <f t="shared" si="1"/>
        <v>46030</v>
      </c>
      <c r="R7" s="17">
        <f t="shared" si="1"/>
        <v>46031</v>
      </c>
      <c r="S7" s="17">
        <f t="shared" si="1"/>
        <v>46032</v>
      </c>
      <c r="T7" s="17">
        <f t="shared" si="1"/>
        <v>46033</v>
      </c>
      <c r="U7" s="17">
        <f t="shared" si="1"/>
        <v>46034</v>
      </c>
      <c r="V7" s="17">
        <f t="shared" si="1"/>
        <v>46035</v>
      </c>
      <c r="W7" s="17">
        <f t="shared" si="1"/>
        <v>46036</v>
      </c>
      <c r="X7" s="17">
        <f t="shared" si="1"/>
        <v>46037</v>
      </c>
      <c r="Y7" s="17">
        <f t="shared" si="1"/>
        <v>46038</v>
      </c>
      <c r="Z7" s="17">
        <f t="shared" si="1"/>
        <v>46039</v>
      </c>
      <c r="AA7" s="17">
        <f t="shared" si="1"/>
        <v>46040</v>
      </c>
      <c r="AB7" s="17">
        <f t="shared" si="1"/>
        <v>46041</v>
      </c>
      <c r="AC7" s="17">
        <f t="shared" si="1"/>
        <v>46042</v>
      </c>
      <c r="AD7" s="17">
        <f t="shared" si="1"/>
        <v>46043</v>
      </c>
      <c r="AE7" s="17">
        <f t="shared" si="1"/>
        <v>46044</v>
      </c>
      <c r="AF7" s="17">
        <f t="shared" si="1"/>
        <v>46045</v>
      </c>
      <c r="AG7" s="17">
        <f t="shared" si="1"/>
        <v>46046</v>
      </c>
      <c r="AH7" s="17">
        <f t="shared" si="1"/>
        <v>46047</v>
      </c>
      <c r="AI7" s="17">
        <f t="shared" si="1"/>
        <v>46048</v>
      </c>
      <c r="AJ7" s="17">
        <f t="shared" si="1"/>
        <v>46049</v>
      </c>
      <c r="AK7" s="17">
        <f t="shared" si="1"/>
        <v>46050</v>
      </c>
      <c r="AL7" s="17">
        <f t="shared" si="1"/>
        <v>46051</v>
      </c>
      <c r="AM7" s="17">
        <f t="shared" si="1"/>
        <v>46052</v>
      </c>
      <c r="AN7" s="31">
        <f t="shared" si="1"/>
        <v>46053</v>
      </c>
      <c r="AO7" s="39"/>
      <c r="AR7" s="43"/>
      <c r="AS7" s="18" t="s">
        <v>37</v>
      </c>
      <c r="AT7" s="18" t="s">
        <v>38</v>
      </c>
      <c r="AU7" s="18" t="s">
        <v>56</v>
      </c>
      <c r="AV7" s="19" t="s">
        <v>39</v>
      </c>
      <c r="AW7" s="18" t="s">
        <v>45</v>
      </c>
      <c r="AX7" s="18" t="s">
        <v>46</v>
      </c>
      <c r="AY7" s="18" t="s">
        <v>47</v>
      </c>
      <c r="AZ7" s="18" t="s">
        <v>48</v>
      </c>
      <c r="BA7" s="18" t="s">
        <v>49</v>
      </c>
      <c r="BB7" s="18" t="s">
        <v>50</v>
      </c>
      <c r="BC7" s="18" t="s">
        <v>51</v>
      </c>
      <c r="BD7" s="18" t="s">
        <v>52</v>
      </c>
      <c r="BE7" s="18" t="s">
        <v>53</v>
      </c>
      <c r="BF7" s="20" t="s">
        <v>54</v>
      </c>
      <c r="BG7" s="18" t="s">
        <v>55</v>
      </c>
      <c r="BH7" s="43"/>
    </row>
    <row r="8" spans="1:60" x14ac:dyDescent="0.25">
      <c r="A8"/>
      <c r="B8"/>
      <c r="E8" s="39"/>
      <c r="F8" s="24">
        <v>1</v>
      </c>
      <c r="G8" s="14" t="s">
        <v>20</v>
      </c>
      <c r="H8" s="10" t="s">
        <v>3</v>
      </c>
      <c r="I8" s="15">
        <f>COUNTIF($J$6:$AN$6,"sun")</f>
        <v>4</v>
      </c>
      <c r="J8" s="14" t="s">
        <v>57</v>
      </c>
      <c r="K8" s="14" t="s">
        <v>57</v>
      </c>
      <c r="L8" s="14" t="s">
        <v>57</v>
      </c>
      <c r="M8" s="14" t="str">
        <f t="shared" ref="K8:AN16" si="2">IF(M$6 = "sun","WO","")</f>
        <v>WO</v>
      </c>
      <c r="N8" s="14" t="s">
        <v>57</v>
      </c>
      <c r="O8" s="14" t="s">
        <v>57</v>
      </c>
      <c r="P8" s="14" t="s">
        <v>59</v>
      </c>
      <c r="Q8" s="14" t="s">
        <v>57</v>
      </c>
      <c r="R8" s="14" t="s">
        <v>57</v>
      </c>
      <c r="S8" s="14" t="s">
        <v>58</v>
      </c>
      <c r="T8" s="14" t="str">
        <f t="shared" si="2"/>
        <v>WO</v>
      </c>
      <c r="U8" s="14" t="s">
        <v>57</v>
      </c>
      <c r="V8" s="14" t="s">
        <v>57</v>
      </c>
      <c r="W8" s="14" t="s">
        <v>57</v>
      </c>
      <c r="X8" s="14" t="s">
        <v>57</v>
      </c>
      <c r="Y8" s="14" t="s">
        <v>57</v>
      </c>
      <c r="Z8" s="14" t="s">
        <v>57</v>
      </c>
      <c r="AA8" s="14" t="str">
        <f t="shared" si="2"/>
        <v>WO</v>
      </c>
      <c r="AB8" s="14" t="s">
        <v>57</v>
      </c>
      <c r="AC8" s="14" t="s">
        <v>57</v>
      </c>
      <c r="AD8" s="14" t="s">
        <v>57</v>
      </c>
      <c r="AE8" s="14" t="s">
        <v>57</v>
      </c>
      <c r="AF8" s="14" t="s">
        <v>57</v>
      </c>
      <c r="AG8" s="14" t="s">
        <v>57</v>
      </c>
      <c r="AH8" s="14" t="str">
        <f t="shared" si="2"/>
        <v>WO</v>
      </c>
      <c r="AI8" s="14" t="s">
        <v>57</v>
      </c>
      <c r="AJ8" s="14" t="s">
        <v>57</v>
      </c>
      <c r="AK8" s="14" t="s">
        <v>58</v>
      </c>
      <c r="AL8" s="14" t="s">
        <v>57</v>
      </c>
      <c r="AM8" s="14" t="s">
        <v>57</v>
      </c>
      <c r="AN8" s="32" t="s">
        <v>57</v>
      </c>
      <c r="AO8" s="39"/>
      <c r="AR8" s="43"/>
      <c r="AS8" s="22">
        <v>1</v>
      </c>
      <c r="AT8" s="14" t="s">
        <v>20</v>
      </c>
      <c r="AU8" s="14" t="str">
        <f t="shared" ref="AU8:AU24" si="3">$I$4</f>
        <v>January</v>
      </c>
      <c r="AV8" s="10" t="s">
        <v>3</v>
      </c>
      <c r="AW8" s="22">
        <f t="shared" ref="AW8:AW24" si="4">COUNTIF($J8:$AN8,"P")</f>
        <v>24</v>
      </c>
      <c r="AX8" s="22">
        <f t="shared" ref="AX8:AX24" si="5">COUNTIF($J8:$AN8,"A")</f>
        <v>1</v>
      </c>
      <c r="AY8" s="22">
        <f t="shared" ref="AY8:AY24" si="6">COUNTIF($J8:$AN8,"L")</f>
        <v>2</v>
      </c>
      <c r="AZ8" s="22">
        <f t="shared" ref="AZ8:AZ24" si="7">$I$8</f>
        <v>4</v>
      </c>
      <c r="BA8" s="22">
        <f t="shared" ref="BA8:BA24" si="8">$H$4</f>
        <v>31</v>
      </c>
      <c r="BB8" s="22">
        <f>JanMonthlyReport[[#This Row],[Days]]-JanMonthlyReport[[#This Row],[Absent]]</f>
        <v>30</v>
      </c>
      <c r="BC8" s="23">
        <v>100000</v>
      </c>
      <c r="BD8" s="23">
        <f>JanMonthlyReport[[#This Row],[Basic Salary]]/JanMonthlyReport[[#This Row],[Days]]</f>
        <v>3225.8064516129034</v>
      </c>
      <c r="BE8" s="23">
        <f>JanMonthlyReport[[#This Row],[Per Day Salary]]*JanMonthlyReport[[#This Row],[Absent]]</f>
        <v>3225.8064516129034</v>
      </c>
      <c r="BF8" s="26">
        <f>JanMonthlyReport[[#This Row],[Basic Salary]]-JanMonthlyReport[[#This Row],[Deduction]]</f>
        <v>96774.193548387091</v>
      </c>
      <c r="BG8" s="21"/>
      <c r="BH8" s="43"/>
    </row>
    <row r="9" spans="1:60" x14ac:dyDescent="0.25">
      <c r="A9"/>
      <c r="B9"/>
      <c r="E9" s="39"/>
      <c r="F9" s="24">
        <v>2</v>
      </c>
      <c r="G9" s="14" t="s">
        <v>21</v>
      </c>
      <c r="H9" s="10" t="s">
        <v>4</v>
      </c>
      <c r="I9" s="15">
        <f t="shared" ref="I9:I24" si="9">COUNTIF($J$6:$AN$6,"sun")</f>
        <v>4</v>
      </c>
      <c r="J9" s="14" t="s">
        <v>57</v>
      </c>
      <c r="K9" s="14" t="s">
        <v>57</v>
      </c>
      <c r="L9" s="14" t="s">
        <v>57</v>
      </c>
      <c r="M9" s="14" t="str">
        <f t="shared" si="2"/>
        <v>WO</v>
      </c>
      <c r="N9" s="14" t="s">
        <v>57</v>
      </c>
      <c r="O9" s="14" t="s">
        <v>57</v>
      </c>
      <c r="P9" s="14" t="s">
        <v>57</v>
      </c>
      <c r="Q9" s="14" t="s">
        <v>57</v>
      </c>
      <c r="R9" s="14" t="s">
        <v>57</v>
      </c>
      <c r="S9" s="14" t="s">
        <v>58</v>
      </c>
      <c r="T9" s="14" t="str">
        <f t="shared" si="2"/>
        <v>WO</v>
      </c>
      <c r="U9" s="14" t="s">
        <v>57</v>
      </c>
      <c r="V9" s="14" t="s">
        <v>57</v>
      </c>
      <c r="W9" s="14" t="s">
        <v>57</v>
      </c>
      <c r="X9" s="14" t="s">
        <v>57</v>
      </c>
      <c r="Y9" s="14" t="s">
        <v>57</v>
      </c>
      <c r="Z9" s="14" t="s">
        <v>57</v>
      </c>
      <c r="AA9" s="14" t="str">
        <f t="shared" si="2"/>
        <v>WO</v>
      </c>
      <c r="AB9" s="14" t="s">
        <v>57</v>
      </c>
      <c r="AC9" s="14" t="s">
        <v>57</v>
      </c>
      <c r="AD9" s="14" t="s">
        <v>57</v>
      </c>
      <c r="AE9" s="14" t="s">
        <v>57</v>
      </c>
      <c r="AF9" s="14" t="s">
        <v>57</v>
      </c>
      <c r="AG9" s="14" t="s">
        <v>57</v>
      </c>
      <c r="AH9" s="14" t="str">
        <f t="shared" si="2"/>
        <v>WO</v>
      </c>
      <c r="AI9" s="14" t="s">
        <v>57</v>
      </c>
      <c r="AJ9" s="14" t="s">
        <v>57</v>
      </c>
      <c r="AK9" s="14" t="s">
        <v>58</v>
      </c>
      <c r="AL9" s="14" t="s">
        <v>57</v>
      </c>
      <c r="AM9" s="14" t="s">
        <v>57</v>
      </c>
      <c r="AN9" s="32" t="s">
        <v>57</v>
      </c>
      <c r="AO9" s="39"/>
      <c r="AR9" s="43"/>
      <c r="AS9" s="22">
        <v>2</v>
      </c>
      <c r="AT9" s="14" t="s">
        <v>21</v>
      </c>
      <c r="AU9" s="14" t="str">
        <f t="shared" si="3"/>
        <v>January</v>
      </c>
      <c r="AV9" s="10" t="s">
        <v>4</v>
      </c>
      <c r="AW9" s="22">
        <f t="shared" si="4"/>
        <v>25</v>
      </c>
      <c r="AX9" s="22">
        <f t="shared" si="5"/>
        <v>0</v>
      </c>
      <c r="AY9" s="22">
        <f t="shared" si="6"/>
        <v>2</v>
      </c>
      <c r="AZ9" s="22">
        <f t="shared" si="7"/>
        <v>4</v>
      </c>
      <c r="BA9" s="22">
        <f t="shared" si="8"/>
        <v>31</v>
      </c>
      <c r="BB9" s="22">
        <f>JanMonthlyReport[[#This Row],[Days]]-JanMonthlyReport[[#This Row],[Absent]]</f>
        <v>31</v>
      </c>
      <c r="BC9" s="23">
        <v>70000</v>
      </c>
      <c r="BD9" s="23">
        <f>JanMonthlyReport[[#This Row],[Basic Salary]]/JanMonthlyReport[[#This Row],[Days]]</f>
        <v>2258.0645161290322</v>
      </c>
      <c r="BE9" s="23">
        <f>JanMonthlyReport[[#This Row],[Per Day Salary]]*JanMonthlyReport[[#This Row],[Absent]]</f>
        <v>0</v>
      </c>
      <c r="BF9" s="26">
        <f>JanMonthlyReport[[#This Row],[Basic Salary]]-JanMonthlyReport[[#This Row],[Deduction]]</f>
        <v>70000</v>
      </c>
      <c r="BG9" s="21"/>
      <c r="BH9" s="43"/>
    </row>
    <row r="10" spans="1:60" x14ac:dyDescent="0.25">
      <c r="A10"/>
      <c r="B10"/>
      <c r="E10" s="39"/>
      <c r="F10" s="24">
        <v>3</v>
      </c>
      <c r="G10" s="14" t="s">
        <v>22</v>
      </c>
      <c r="H10" s="10" t="s">
        <v>5</v>
      </c>
      <c r="I10" s="15">
        <f t="shared" si="9"/>
        <v>4</v>
      </c>
      <c r="J10" s="14" t="s">
        <v>57</v>
      </c>
      <c r="K10" s="14" t="s">
        <v>57</v>
      </c>
      <c r="L10" s="14" t="s">
        <v>57</v>
      </c>
      <c r="M10" s="14" t="str">
        <f t="shared" si="2"/>
        <v>WO</v>
      </c>
      <c r="N10" s="14" t="s">
        <v>57</v>
      </c>
      <c r="O10" s="14" t="s">
        <v>57</v>
      </c>
      <c r="P10" s="14" t="s">
        <v>57</v>
      </c>
      <c r="Q10" s="14" t="s">
        <v>57</v>
      </c>
      <c r="R10" s="14" t="s">
        <v>57</v>
      </c>
      <c r="S10" s="14" t="s">
        <v>58</v>
      </c>
      <c r="T10" s="14" t="str">
        <f t="shared" si="2"/>
        <v>WO</v>
      </c>
      <c r="U10" s="14" t="s">
        <v>57</v>
      </c>
      <c r="V10" s="14" t="s">
        <v>57</v>
      </c>
      <c r="W10" s="14" t="s">
        <v>57</v>
      </c>
      <c r="X10" s="14" t="s">
        <v>57</v>
      </c>
      <c r="Y10" s="14" t="s">
        <v>57</v>
      </c>
      <c r="Z10" s="14" t="s">
        <v>57</v>
      </c>
      <c r="AA10" s="14" t="str">
        <f t="shared" si="2"/>
        <v>WO</v>
      </c>
      <c r="AB10" s="14" t="s">
        <v>57</v>
      </c>
      <c r="AC10" s="14" t="s">
        <v>57</v>
      </c>
      <c r="AD10" s="14" t="s">
        <v>57</v>
      </c>
      <c r="AE10" s="14" t="s">
        <v>57</v>
      </c>
      <c r="AF10" s="14" t="s">
        <v>57</v>
      </c>
      <c r="AG10" s="14" t="s">
        <v>57</v>
      </c>
      <c r="AH10" s="14" t="str">
        <f t="shared" si="2"/>
        <v>WO</v>
      </c>
      <c r="AI10" s="14" t="s">
        <v>57</v>
      </c>
      <c r="AJ10" s="14" t="s">
        <v>57</v>
      </c>
      <c r="AK10" s="14" t="s">
        <v>58</v>
      </c>
      <c r="AL10" s="14" t="s">
        <v>57</v>
      </c>
      <c r="AM10" s="14" t="s">
        <v>57</v>
      </c>
      <c r="AN10" s="32" t="s">
        <v>57</v>
      </c>
      <c r="AO10" s="39"/>
      <c r="AR10" s="43"/>
      <c r="AS10" s="22">
        <v>3</v>
      </c>
      <c r="AT10" s="14" t="s">
        <v>22</v>
      </c>
      <c r="AU10" s="14" t="str">
        <f t="shared" si="3"/>
        <v>January</v>
      </c>
      <c r="AV10" s="10" t="s">
        <v>5</v>
      </c>
      <c r="AW10" s="22">
        <f t="shared" si="4"/>
        <v>25</v>
      </c>
      <c r="AX10" s="22">
        <f t="shared" si="5"/>
        <v>0</v>
      </c>
      <c r="AY10" s="22">
        <f t="shared" si="6"/>
        <v>2</v>
      </c>
      <c r="AZ10" s="22">
        <f t="shared" si="7"/>
        <v>4</v>
      </c>
      <c r="BA10" s="22">
        <f t="shared" si="8"/>
        <v>31</v>
      </c>
      <c r="BB10" s="22">
        <f>JanMonthlyReport[[#This Row],[Days]]-JanMonthlyReport[[#This Row],[Absent]]</f>
        <v>31</v>
      </c>
      <c r="BC10" s="23">
        <v>80000</v>
      </c>
      <c r="BD10" s="23">
        <f>JanMonthlyReport[[#This Row],[Basic Salary]]/JanMonthlyReport[[#This Row],[Days]]</f>
        <v>2580.6451612903224</v>
      </c>
      <c r="BE10" s="23">
        <f>JanMonthlyReport[[#This Row],[Per Day Salary]]*JanMonthlyReport[[#This Row],[Absent]]</f>
        <v>0</v>
      </c>
      <c r="BF10" s="26">
        <f>JanMonthlyReport[[#This Row],[Basic Salary]]-JanMonthlyReport[[#This Row],[Deduction]]</f>
        <v>80000</v>
      </c>
      <c r="BG10" s="21"/>
      <c r="BH10" s="43"/>
    </row>
    <row r="11" spans="1:60" x14ac:dyDescent="0.25">
      <c r="A11"/>
      <c r="B11"/>
      <c r="E11" s="39"/>
      <c r="F11" s="24">
        <v>4</v>
      </c>
      <c r="G11" s="14" t="s">
        <v>23</v>
      </c>
      <c r="H11" s="10" t="s">
        <v>6</v>
      </c>
      <c r="I11" s="15">
        <f t="shared" si="9"/>
        <v>4</v>
      </c>
      <c r="J11" s="14" t="s">
        <v>57</v>
      </c>
      <c r="K11" s="14" t="s">
        <v>57</v>
      </c>
      <c r="L11" s="14" t="s">
        <v>57</v>
      </c>
      <c r="M11" s="14" t="str">
        <f t="shared" si="2"/>
        <v>WO</v>
      </c>
      <c r="N11" s="14" t="s">
        <v>57</v>
      </c>
      <c r="O11" s="14" t="s">
        <v>57</v>
      </c>
      <c r="P11" s="14" t="s">
        <v>57</v>
      </c>
      <c r="Q11" s="14" t="s">
        <v>57</v>
      </c>
      <c r="R11" s="14" t="s">
        <v>57</v>
      </c>
      <c r="S11" s="14" t="s">
        <v>58</v>
      </c>
      <c r="T11" s="14" t="str">
        <f t="shared" si="2"/>
        <v>WO</v>
      </c>
      <c r="U11" s="14" t="s">
        <v>57</v>
      </c>
      <c r="V11" s="14" t="s">
        <v>57</v>
      </c>
      <c r="W11" s="14" t="s">
        <v>57</v>
      </c>
      <c r="X11" s="14" t="s">
        <v>57</v>
      </c>
      <c r="Y11" s="14" t="s">
        <v>57</v>
      </c>
      <c r="Z11" s="14" t="s">
        <v>57</v>
      </c>
      <c r="AA11" s="14" t="str">
        <f t="shared" si="2"/>
        <v>WO</v>
      </c>
      <c r="AB11" s="14" t="s">
        <v>57</v>
      </c>
      <c r="AC11" s="14" t="s">
        <v>57</v>
      </c>
      <c r="AD11" s="14" t="s">
        <v>57</v>
      </c>
      <c r="AE11" s="14" t="s">
        <v>57</v>
      </c>
      <c r="AF11" s="14" t="s">
        <v>57</v>
      </c>
      <c r="AG11" s="14" t="s">
        <v>57</v>
      </c>
      <c r="AH11" s="14" t="str">
        <f t="shared" si="2"/>
        <v>WO</v>
      </c>
      <c r="AI11" s="14" t="s">
        <v>57</v>
      </c>
      <c r="AJ11" s="14" t="s">
        <v>57</v>
      </c>
      <c r="AK11" s="14" t="s">
        <v>58</v>
      </c>
      <c r="AL11" s="14" t="s">
        <v>57</v>
      </c>
      <c r="AM11" s="14" t="s">
        <v>57</v>
      </c>
      <c r="AN11" s="32" t="s">
        <v>57</v>
      </c>
      <c r="AO11" s="39"/>
      <c r="AR11" s="43"/>
      <c r="AS11" s="22">
        <v>4</v>
      </c>
      <c r="AT11" s="14" t="s">
        <v>23</v>
      </c>
      <c r="AU11" s="14" t="str">
        <f t="shared" si="3"/>
        <v>January</v>
      </c>
      <c r="AV11" s="10" t="s">
        <v>6</v>
      </c>
      <c r="AW11" s="22">
        <f t="shared" si="4"/>
        <v>25</v>
      </c>
      <c r="AX11" s="22">
        <f t="shared" si="5"/>
        <v>0</v>
      </c>
      <c r="AY11" s="22">
        <f t="shared" si="6"/>
        <v>2</v>
      </c>
      <c r="AZ11" s="22">
        <f t="shared" si="7"/>
        <v>4</v>
      </c>
      <c r="BA11" s="22">
        <f t="shared" si="8"/>
        <v>31</v>
      </c>
      <c r="BB11" s="22">
        <f>JanMonthlyReport[[#This Row],[Days]]-JanMonthlyReport[[#This Row],[Absent]]</f>
        <v>31</v>
      </c>
      <c r="BC11" s="23">
        <v>75000</v>
      </c>
      <c r="BD11" s="23">
        <f>JanMonthlyReport[[#This Row],[Basic Salary]]/JanMonthlyReport[[#This Row],[Days]]</f>
        <v>2419.3548387096776</v>
      </c>
      <c r="BE11" s="23">
        <f>JanMonthlyReport[[#This Row],[Per Day Salary]]*JanMonthlyReport[[#This Row],[Absent]]</f>
        <v>0</v>
      </c>
      <c r="BF11" s="26">
        <f>JanMonthlyReport[[#This Row],[Basic Salary]]-JanMonthlyReport[[#This Row],[Deduction]]</f>
        <v>75000</v>
      </c>
      <c r="BG11" s="21"/>
      <c r="BH11" s="43"/>
    </row>
    <row r="12" spans="1:60" x14ac:dyDescent="0.25">
      <c r="A12"/>
      <c r="B12"/>
      <c r="E12" s="39"/>
      <c r="F12" s="24">
        <v>5</v>
      </c>
      <c r="G12" s="14" t="s">
        <v>24</v>
      </c>
      <c r="H12" s="10" t="s">
        <v>7</v>
      </c>
      <c r="I12" s="15">
        <f t="shared" si="9"/>
        <v>4</v>
      </c>
      <c r="J12" s="14" t="s">
        <v>57</v>
      </c>
      <c r="K12" s="14" t="s">
        <v>57</v>
      </c>
      <c r="L12" s="14" t="s">
        <v>57</v>
      </c>
      <c r="M12" s="14" t="str">
        <f t="shared" si="2"/>
        <v>WO</v>
      </c>
      <c r="N12" s="14" t="s">
        <v>57</v>
      </c>
      <c r="O12" s="14" t="s">
        <v>57</v>
      </c>
      <c r="P12" s="14" t="s">
        <v>57</v>
      </c>
      <c r="Q12" s="14" t="s">
        <v>57</v>
      </c>
      <c r="R12" s="14" t="s">
        <v>57</v>
      </c>
      <c r="S12" s="14" t="s">
        <v>58</v>
      </c>
      <c r="T12" s="14" t="str">
        <f t="shared" si="2"/>
        <v>WO</v>
      </c>
      <c r="U12" s="14" t="s">
        <v>57</v>
      </c>
      <c r="V12" s="14" t="s">
        <v>57</v>
      </c>
      <c r="W12" s="14" t="s">
        <v>57</v>
      </c>
      <c r="X12" s="14" t="s">
        <v>57</v>
      </c>
      <c r="Y12" s="14" t="s">
        <v>59</v>
      </c>
      <c r="Z12" s="14" t="s">
        <v>57</v>
      </c>
      <c r="AA12" s="14" t="str">
        <f t="shared" si="2"/>
        <v>WO</v>
      </c>
      <c r="AB12" s="14" t="s">
        <v>57</v>
      </c>
      <c r="AC12" s="14" t="s">
        <v>57</v>
      </c>
      <c r="AD12" s="14" t="s">
        <v>57</v>
      </c>
      <c r="AE12" s="14" t="s">
        <v>57</v>
      </c>
      <c r="AF12" s="14" t="s">
        <v>57</v>
      </c>
      <c r="AG12" s="14" t="s">
        <v>57</v>
      </c>
      <c r="AH12" s="14" t="str">
        <f t="shared" si="2"/>
        <v>WO</v>
      </c>
      <c r="AI12" s="14" t="s">
        <v>57</v>
      </c>
      <c r="AJ12" s="14" t="s">
        <v>57</v>
      </c>
      <c r="AK12" s="14" t="s">
        <v>58</v>
      </c>
      <c r="AL12" s="14" t="s">
        <v>57</v>
      </c>
      <c r="AM12" s="14" t="s">
        <v>57</v>
      </c>
      <c r="AN12" s="32" t="s">
        <v>57</v>
      </c>
      <c r="AO12" s="39"/>
      <c r="AR12" s="43"/>
      <c r="AS12" s="22">
        <v>5</v>
      </c>
      <c r="AT12" s="14" t="s">
        <v>24</v>
      </c>
      <c r="AU12" s="14" t="str">
        <f t="shared" si="3"/>
        <v>January</v>
      </c>
      <c r="AV12" s="10" t="s">
        <v>7</v>
      </c>
      <c r="AW12" s="22">
        <f t="shared" si="4"/>
        <v>24</v>
      </c>
      <c r="AX12" s="22">
        <f t="shared" si="5"/>
        <v>1</v>
      </c>
      <c r="AY12" s="22">
        <f t="shared" si="6"/>
        <v>2</v>
      </c>
      <c r="AZ12" s="22">
        <f t="shared" si="7"/>
        <v>4</v>
      </c>
      <c r="BA12" s="22">
        <f t="shared" si="8"/>
        <v>31</v>
      </c>
      <c r="BB12" s="22">
        <f>JanMonthlyReport[[#This Row],[Days]]-JanMonthlyReport[[#This Row],[Absent]]</f>
        <v>30</v>
      </c>
      <c r="BC12" s="23">
        <v>16000</v>
      </c>
      <c r="BD12" s="23">
        <f>JanMonthlyReport[[#This Row],[Basic Salary]]/JanMonthlyReport[[#This Row],[Days]]</f>
        <v>516.12903225806451</v>
      </c>
      <c r="BE12" s="23">
        <f>JanMonthlyReport[[#This Row],[Per Day Salary]]*JanMonthlyReport[[#This Row],[Absent]]</f>
        <v>516.12903225806451</v>
      </c>
      <c r="BF12" s="26">
        <f>JanMonthlyReport[[#This Row],[Basic Salary]]-JanMonthlyReport[[#This Row],[Deduction]]</f>
        <v>15483.870967741936</v>
      </c>
      <c r="BG12" s="21"/>
      <c r="BH12" s="43"/>
    </row>
    <row r="13" spans="1:60" x14ac:dyDescent="0.25">
      <c r="A13"/>
      <c r="B13"/>
      <c r="E13" s="39"/>
      <c r="F13" s="24">
        <v>6</v>
      </c>
      <c r="G13" s="14" t="s">
        <v>25</v>
      </c>
      <c r="H13" s="10" t="s">
        <v>8</v>
      </c>
      <c r="I13" s="15">
        <f t="shared" si="9"/>
        <v>4</v>
      </c>
      <c r="J13" s="14" t="s">
        <v>57</v>
      </c>
      <c r="K13" s="14" t="s">
        <v>57</v>
      </c>
      <c r="L13" s="14" t="s">
        <v>57</v>
      </c>
      <c r="M13" s="14" t="str">
        <f t="shared" si="2"/>
        <v>WO</v>
      </c>
      <c r="N13" s="14" t="s">
        <v>57</v>
      </c>
      <c r="O13" s="14" t="s">
        <v>57</v>
      </c>
      <c r="P13" s="14" t="s">
        <v>57</v>
      </c>
      <c r="Q13" s="14" t="s">
        <v>57</v>
      </c>
      <c r="R13" s="14" t="s">
        <v>57</v>
      </c>
      <c r="S13" s="14" t="s">
        <v>58</v>
      </c>
      <c r="T13" s="14" t="str">
        <f t="shared" si="2"/>
        <v>WO</v>
      </c>
      <c r="U13" s="14" t="s">
        <v>57</v>
      </c>
      <c r="V13" s="14" t="s">
        <v>57</v>
      </c>
      <c r="W13" s="14" t="s">
        <v>57</v>
      </c>
      <c r="X13" s="14" t="s">
        <v>57</v>
      </c>
      <c r="Y13" s="14" t="s">
        <v>57</v>
      </c>
      <c r="Z13" s="14" t="s">
        <v>57</v>
      </c>
      <c r="AA13" s="14" t="str">
        <f t="shared" si="2"/>
        <v>WO</v>
      </c>
      <c r="AB13" s="14" t="s">
        <v>57</v>
      </c>
      <c r="AC13" s="14" t="s">
        <v>57</v>
      </c>
      <c r="AD13" s="14" t="s">
        <v>59</v>
      </c>
      <c r="AE13" s="14" t="s">
        <v>57</v>
      </c>
      <c r="AF13" s="14" t="s">
        <v>59</v>
      </c>
      <c r="AG13" s="14" t="s">
        <v>57</v>
      </c>
      <c r="AH13" s="14" t="str">
        <f t="shared" si="2"/>
        <v>WO</v>
      </c>
      <c r="AI13" s="14" t="s">
        <v>57</v>
      </c>
      <c r="AJ13" s="14" t="s">
        <v>57</v>
      </c>
      <c r="AK13" s="14" t="s">
        <v>58</v>
      </c>
      <c r="AL13" s="14" t="s">
        <v>57</v>
      </c>
      <c r="AM13" s="14" t="s">
        <v>57</v>
      </c>
      <c r="AN13" s="32" t="s">
        <v>57</v>
      </c>
      <c r="AO13" s="39"/>
      <c r="AR13" s="43"/>
      <c r="AS13" s="22">
        <v>6</v>
      </c>
      <c r="AT13" s="14" t="s">
        <v>25</v>
      </c>
      <c r="AU13" s="14" t="str">
        <f t="shared" si="3"/>
        <v>January</v>
      </c>
      <c r="AV13" s="10" t="s">
        <v>8</v>
      </c>
      <c r="AW13" s="22">
        <f t="shared" si="4"/>
        <v>23</v>
      </c>
      <c r="AX13" s="22">
        <f t="shared" si="5"/>
        <v>2</v>
      </c>
      <c r="AY13" s="22">
        <f t="shared" si="6"/>
        <v>2</v>
      </c>
      <c r="AZ13" s="22">
        <f t="shared" si="7"/>
        <v>4</v>
      </c>
      <c r="BA13" s="22">
        <f t="shared" si="8"/>
        <v>31</v>
      </c>
      <c r="BB13" s="22">
        <f>JanMonthlyReport[[#This Row],[Days]]-JanMonthlyReport[[#This Row],[Absent]]</f>
        <v>29</v>
      </c>
      <c r="BC13" s="23">
        <v>12000</v>
      </c>
      <c r="BD13" s="23">
        <f>JanMonthlyReport[[#This Row],[Basic Salary]]/JanMonthlyReport[[#This Row],[Days]]</f>
        <v>387.09677419354841</v>
      </c>
      <c r="BE13" s="23">
        <f>JanMonthlyReport[[#This Row],[Per Day Salary]]*JanMonthlyReport[[#This Row],[Absent]]</f>
        <v>774.19354838709683</v>
      </c>
      <c r="BF13" s="26">
        <f>JanMonthlyReport[[#This Row],[Basic Salary]]-JanMonthlyReport[[#This Row],[Deduction]]</f>
        <v>11225.806451612903</v>
      </c>
      <c r="BG13" s="21"/>
      <c r="BH13" s="43"/>
    </row>
    <row r="14" spans="1:60" x14ac:dyDescent="0.25">
      <c r="A14"/>
      <c r="B14"/>
      <c r="E14" s="39"/>
      <c r="F14" s="24">
        <v>7</v>
      </c>
      <c r="G14" s="14" t="s">
        <v>26</v>
      </c>
      <c r="H14" s="10" t="s">
        <v>9</v>
      </c>
      <c r="I14" s="15">
        <f t="shared" si="9"/>
        <v>4</v>
      </c>
      <c r="J14" s="14" t="s">
        <v>57</v>
      </c>
      <c r="K14" s="14" t="s">
        <v>57</v>
      </c>
      <c r="L14" s="14" t="s">
        <v>57</v>
      </c>
      <c r="M14" s="14" t="str">
        <f t="shared" si="2"/>
        <v>WO</v>
      </c>
      <c r="N14" s="14" t="s">
        <v>57</v>
      </c>
      <c r="O14" s="14" t="s">
        <v>57</v>
      </c>
      <c r="P14" s="14" t="s">
        <v>57</v>
      </c>
      <c r="Q14" s="14" t="s">
        <v>57</v>
      </c>
      <c r="R14" s="14" t="s">
        <v>57</v>
      </c>
      <c r="S14" s="14" t="s">
        <v>58</v>
      </c>
      <c r="T14" s="14" t="str">
        <f t="shared" si="2"/>
        <v>WO</v>
      </c>
      <c r="U14" s="14" t="s">
        <v>57</v>
      </c>
      <c r="V14" s="14" t="s">
        <v>57</v>
      </c>
      <c r="W14" s="14" t="s">
        <v>57</v>
      </c>
      <c r="X14" s="14" t="s">
        <v>59</v>
      </c>
      <c r="Y14" s="14" t="s">
        <v>57</v>
      </c>
      <c r="Z14" s="14" t="s">
        <v>57</v>
      </c>
      <c r="AA14" s="14" t="str">
        <f t="shared" si="2"/>
        <v>WO</v>
      </c>
      <c r="AB14" s="14" t="s">
        <v>57</v>
      </c>
      <c r="AC14" s="14" t="s">
        <v>57</v>
      </c>
      <c r="AD14" s="14" t="s">
        <v>57</v>
      </c>
      <c r="AE14" s="14" t="s">
        <v>57</v>
      </c>
      <c r="AF14" s="14" t="s">
        <v>57</v>
      </c>
      <c r="AG14" s="14" t="s">
        <v>57</v>
      </c>
      <c r="AH14" s="14" t="str">
        <f t="shared" si="2"/>
        <v>WO</v>
      </c>
      <c r="AI14" s="14" t="s">
        <v>57</v>
      </c>
      <c r="AJ14" s="14" t="s">
        <v>57</v>
      </c>
      <c r="AK14" s="14" t="s">
        <v>58</v>
      </c>
      <c r="AL14" s="14" t="s">
        <v>57</v>
      </c>
      <c r="AM14" s="14" t="s">
        <v>57</v>
      </c>
      <c r="AN14" s="32" t="s">
        <v>57</v>
      </c>
      <c r="AO14" s="39"/>
      <c r="AR14" s="43"/>
      <c r="AS14" s="22">
        <v>7</v>
      </c>
      <c r="AT14" s="14" t="s">
        <v>26</v>
      </c>
      <c r="AU14" s="14" t="str">
        <f t="shared" si="3"/>
        <v>January</v>
      </c>
      <c r="AV14" s="10" t="s">
        <v>9</v>
      </c>
      <c r="AW14" s="22">
        <f t="shared" si="4"/>
        <v>24</v>
      </c>
      <c r="AX14" s="22">
        <f t="shared" si="5"/>
        <v>1</v>
      </c>
      <c r="AY14" s="22">
        <f t="shared" si="6"/>
        <v>2</v>
      </c>
      <c r="AZ14" s="22">
        <f t="shared" si="7"/>
        <v>4</v>
      </c>
      <c r="BA14" s="22">
        <f t="shared" si="8"/>
        <v>31</v>
      </c>
      <c r="BB14" s="22">
        <f>JanMonthlyReport[[#This Row],[Days]]-JanMonthlyReport[[#This Row],[Absent]]</f>
        <v>30</v>
      </c>
      <c r="BC14" s="23">
        <v>13000</v>
      </c>
      <c r="BD14" s="23">
        <f>JanMonthlyReport[[#This Row],[Basic Salary]]/JanMonthlyReport[[#This Row],[Days]]</f>
        <v>419.35483870967744</v>
      </c>
      <c r="BE14" s="23">
        <f>JanMonthlyReport[[#This Row],[Per Day Salary]]*JanMonthlyReport[[#This Row],[Absent]]</f>
        <v>419.35483870967744</v>
      </c>
      <c r="BF14" s="26">
        <f>JanMonthlyReport[[#This Row],[Basic Salary]]-JanMonthlyReport[[#This Row],[Deduction]]</f>
        <v>12580.645161290322</v>
      </c>
      <c r="BG14" s="21"/>
      <c r="BH14" s="43"/>
    </row>
    <row r="15" spans="1:60" x14ac:dyDescent="0.25">
      <c r="A15"/>
      <c r="B15"/>
      <c r="E15" s="39"/>
      <c r="F15" s="24">
        <v>8</v>
      </c>
      <c r="G15" s="14" t="s">
        <v>27</v>
      </c>
      <c r="H15" s="10" t="s">
        <v>11</v>
      </c>
      <c r="I15" s="15">
        <f t="shared" si="9"/>
        <v>4</v>
      </c>
      <c r="J15" s="14" t="s">
        <v>57</v>
      </c>
      <c r="K15" s="14" t="s">
        <v>57</v>
      </c>
      <c r="L15" s="14" t="s">
        <v>57</v>
      </c>
      <c r="M15" s="14" t="str">
        <f t="shared" si="2"/>
        <v>WO</v>
      </c>
      <c r="N15" s="14" t="s">
        <v>57</v>
      </c>
      <c r="O15" s="14" t="s">
        <v>57</v>
      </c>
      <c r="P15" s="14" t="s">
        <v>57</v>
      </c>
      <c r="Q15" s="14" t="s">
        <v>57</v>
      </c>
      <c r="R15" s="14" t="s">
        <v>57</v>
      </c>
      <c r="S15" s="14" t="s">
        <v>58</v>
      </c>
      <c r="T15" s="14" t="str">
        <f t="shared" si="2"/>
        <v>WO</v>
      </c>
      <c r="U15" s="14" t="s">
        <v>57</v>
      </c>
      <c r="V15" s="14" t="s">
        <v>59</v>
      </c>
      <c r="W15" s="14" t="s">
        <v>57</v>
      </c>
      <c r="X15" s="14" t="s">
        <v>57</v>
      </c>
      <c r="Y15" s="14" t="s">
        <v>57</v>
      </c>
      <c r="Z15" s="14" t="s">
        <v>57</v>
      </c>
      <c r="AA15" s="14" t="str">
        <f t="shared" si="2"/>
        <v>WO</v>
      </c>
      <c r="AB15" s="14" t="s">
        <v>57</v>
      </c>
      <c r="AC15" s="14" t="s">
        <v>57</v>
      </c>
      <c r="AD15" s="14" t="s">
        <v>57</v>
      </c>
      <c r="AE15" s="14" t="s">
        <v>57</v>
      </c>
      <c r="AF15" s="14" t="s">
        <v>57</v>
      </c>
      <c r="AG15" s="14" t="s">
        <v>57</v>
      </c>
      <c r="AH15" s="14" t="str">
        <f t="shared" si="2"/>
        <v>WO</v>
      </c>
      <c r="AI15" s="14" t="s">
        <v>57</v>
      </c>
      <c r="AJ15" s="14" t="s">
        <v>57</v>
      </c>
      <c r="AK15" s="14" t="s">
        <v>58</v>
      </c>
      <c r="AL15" s="14" t="s">
        <v>59</v>
      </c>
      <c r="AM15" s="14" t="s">
        <v>57</v>
      </c>
      <c r="AN15" s="32" t="s">
        <v>57</v>
      </c>
      <c r="AO15" s="39"/>
      <c r="AR15" s="43"/>
      <c r="AS15" s="22">
        <v>8</v>
      </c>
      <c r="AT15" s="14" t="s">
        <v>27</v>
      </c>
      <c r="AU15" s="14" t="str">
        <f t="shared" si="3"/>
        <v>January</v>
      </c>
      <c r="AV15" s="10" t="s">
        <v>11</v>
      </c>
      <c r="AW15" s="22">
        <f t="shared" si="4"/>
        <v>23</v>
      </c>
      <c r="AX15" s="22">
        <f t="shared" si="5"/>
        <v>2</v>
      </c>
      <c r="AY15" s="22">
        <f t="shared" si="6"/>
        <v>2</v>
      </c>
      <c r="AZ15" s="22">
        <f t="shared" si="7"/>
        <v>4</v>
      </c>
      <c r="BA15" s="22">
        <f t="shared" si="8"/>
        <v>31</v>
      </c>
      <c r="BB15" s="22">
        <f>JanMonthlyReport[[#This Row],[Days]]-JanMonthlyReport[[#This Row],[Absent]]</f>
        <v>29</v>
      </c>
      <c r="BC15" s="23">
        <v>8000</v>
      </c>
      <c r="BD15" s="23">
        <f>JanMonthlyReport[[#This Row],[Basic Salary]]/JanMonthlyReport[[#This Row],[Days]]</f>
        <v>258.06451612903226</v>
      </c>
      <c r="BE15" s="23">
        <f>JanMonthlyReport[[#This Row],[Per Day Salary]]*JanMonthlyReport[[#This Row],[Absent]]</f>
        <v>516.12903225806451</v>
      </c>
      <c r="BF15" s="26">
        <f>JanMonthlyReport[[#This Row],[Basic Salary]]-JanMonthlyReport[[#This Row],[Deduction]]</f>
        <v>7483.8709677419356</v>
      </c>
      <c r="BG15" s="21"/>
      <c r="BH15" s="43"/>
    </row>
    <row r="16" spans="1:60" x14ac:dyDescent="0.25">
      <c r="A16"/>
      <c r="B16"/>
      <c r="E16" s="39"/>
      <c r="F16" s="24">
        <v>9</v>
      </c>
      <c r="G16" s="14" t="s">
        <v>28</v>
      </c>
      <c r="H16" s="10" t="s">
        <v>10</v>
      </c>
      <c r="I16" s="15">
        <f t="shared" si="9"/>
        <v>4</v>
      </c>
      <c r="J16" s="14" t="s">
        <v>57</v>
      </c>
      <c r="K16" s="14" t="s">
        <v>57</v>
      </c>
      <c r="L16" s="14" t="s">
        <v>57</v>
      </c>
      <c r="M16" s="14" t="str">
        <f t="shared" si="2"/>
        <v>WO</v>
      </c>
      <c r="N16" s="14" t="s">
        <v>57</v>
      </c>
      <c r="O16" s="14" t="s">
        <v>57</v>
      </c>
      <c r="P16" s="14" t="s">
        <v>57</v>
      </c>
      <c r="Q16" s="14" t="s">
        <v>57</v>
      </c>
      <c r="R16" s="14" t="s">
        <v>57</v>
      </c>
      <c r="S16" s="14" t="s">
        <v>58</v>
      </c>
      <c r="T16" s="14" t="str">
        <f t="shared" si="2"/>
        <v>WO</v>
      </c>
      <c r="U16" s="14" t="s">
        <v>57</v>
      </c>
      <c r="V16" s="14" t="s">
        <v>57</v>
      </c>
      <c r="W16" s="14" t="s">
        <v>57</v>
      </c>
      <c r="X16" s="14" t="s">
        <v>57</v>
      </c>
      <c r="Y16" s="14" t="s">
        <v>57</v>
      </c>
      <c r="Z16" s="14" t="s">
        <v>57</v>
      </c>
      <c r="AA16" s="14" t="str">
        <f t="shared" ref="Z16:AH24" si="10">IF(AA$6 = "sun","WO","")</f>
        <v>WO</v>
      </c>
      <c r="AB16" s="14" t="s">
        <v>57</v>
      </c>
      <c r="AC16" s="14" t="s">
        <v>57</v>
      </c>
      <c r="AD16" s="14" t="s">
        <v>57</v>
      </c>
      <c r="AE16" s="14" t="s">
        <v>57</v>
      </c>
      <c r="AF16" s="14" t="s">
        <v>57</v>
      </c>
      <c r="AG16" s="14" t="s">
        <v>57</v>
      </c>
      <c r="AH16" s="14" t="str">
        <f t="shared" si="10"/>
        <v>WO</v>
      </c>
      <c r="AI16" s="14" t="s">
        <v>57</v>
      </c>
      <c r="AJ16" s="14" t="s">
        <v>57</v>
      </c>
      <c r="AK16" s="14" t="s">
        <v>58</v>
      </c>
      <c r="AL16" s="14" t="s">
        <v>59</v>
      </c>
      <c r="AM16" s="14" t="s">
        <v>57</v>
      </c>
      <c r="AN16" s="32" t="s">
        <v>57</v>
      </c>
      <c r="AO16" s="39"/>
      <c r="AR16" s="43"/>
      <c r="AS16" s="22">
        <v>9</v>
      </c>
      <c r="AT16" s="14" t="s">
        <v>28</v>
      </c>
      <c r="AU16" s="14" t="str">
        <f t="shared" si="3"/>
        <v>January</v>
      </c>
      <c r="AV16" s="10" t="s">
        <v>10</v>
      </c>
      <c r="AW16" s="22">
        <f t="shared" si="4"/>
        <v>24</v>
      </c>
      <c r="AX16" s="22">
        <f t="shared" si="5"/>
        <v>1</v>
      </c>
      <c r="AY16" s="22">
        <f t="shared" si="6"/>
        <v>2</v>
      </c>
      <c r="AZ16" s="22">
        <f t="shared" si="7"/>
        <v>4</v>
      </c>
      <c r="BA16" s="22">
        <f t="shared" si="8"/>
        <v>31</v>
      </c>
      <c r="BB16" s="22">
        <f>JanMonthlyReport[[#This Row],[Days]]-JanMonthlyReport[[#This Row],[Absent]]</f>
        <v>30</v>
      </c>
      <c r="BC16" s="23">
        <v>10000</v>
      </c>
      <c r="BD16" s="23">
        <f>JanMonthlyReport[[#This Row],[Basic Salary]]/JanMonthlyReport[[#This Row],[Days]]</f>
        <v>322.58064516129031</v>
      </c>
      <c r="BE16" s="23">
        <f>JanMonthlyReport[[#This Row],[Per Day Salary]]*JanMonthlyReport[[#This Row],[Absent]]</f>
        <v>322.58064516129031</v>
      </c>
      <c r="BF16" s="26">
        <f>JanMonthlyReport[[#This Row],[Basic Salary]]-JanMonthlyReport[[#This Row],[Deduction]]</f>
        <v>9677.4193548387102</v>
      </c>
      <c r="BG16" s="21"/>
      <c r="BH16" s="43"/>
    </row>
    <row r="17" spans="1:60" x14ac:dyDescent="0.25">
      <c r="A17"/>
      <c r="B17"/>
      <c r="E17" s="39"/>
      <c r="F17" s="24">
        <v>10</v>
      </c>
      <c r="G17" s="14" t="s">
        <v>29</v>
      </c>
      <c r="H17" s="10" t="s">
        <v>12</v>
      </c>
      <c r="I17" s="15">
        <f t="shared" si="9"/>
        <v>4</v>
      </c>
      <c r="J17" s="14" t="s">
        <v>57</v>
      </c>
      <c r="K17" s="14" t="s">
        <v>57</v>
      </c>
      <c r="L17" s="14" t="s">
        <v>57</v>
      </c>
      <c r="M17" s="14" t="str">
        <f t="shared" ref="J9:Y24" si="11">IF(M$6 = "sun","WO","")</f>
        <v>WO</v>
      </c>
      <c r="N17" s="14" t="s">
        <v>57</v>
      </c>
      <c r="O17" s="14" t="s">
        <v>57</v>
      </c>
      <c r="P17" s="14" t="s">
        <v>57</v>
      </c>
      <c r="Q17" s="14" t="s">
        <v>57</v>
      </c>
      <c r="R17" s="14" t="s">
        <v>57</v>
      </c>
      <c r="S17" s="14" t="s">
        <v>58</v>
      </c>
      <c r="T17" s="14" t="str">
        <f t="shared" si="11"/>
        <v>WO</v>
      </c>
      <c r="U17" s="14" t="s">
        <v>57</v>
      </c>
      <c r="V17" s="14" t="s">
        <v>57</v>
      </c>
      <c r="W17" s="14" t="s">
        <v>57</v>
      </c>
      <c r="X17" s="14" t="s">
        <v>57</v>
      </c>
      <c r="Y17" s="14" t="s">
        <v>59</v>
      </c>
      <c r="Z17" s="14" t="s">
        <v>57</v>
      </c>
      <c r="AA17" s="14" t="str">
        <f t="shared" si="10"/>
        <v>WO</v>
      </c>
      <c r="AB17" s="14" t="s">
        <v>57</v>
      </c>
      <c r="AC17" s="14" t="s">
        <v>57</v>
      </c>
      <c r="AD17" s="14" t="s">
        <v>57</v>
      </c>
      <c r="AE17" s="14" t="s">
        <v>57</v>
      </c>
      <c r="AF17" s="14" t="s">
        <v>57</v>
      </c>
      <c r="AG17" s="14" t="s">
        <v>57</v>
      </c>
      <c r="AH17" s="14" t="str">
        <f t="shared" si="10"/>
        <v>WO</v>
      </c>
      <c r="AI17" s="14" t="s">
        <v>57</v>
      </c>
      <c r="AJ17" s="14" t="s">
        <v>57</v>
      </c>
      <c r="AK17" s="14" t="s">
        <v>58</v>
      </c>
      <c r="AL17" s="14" t="s">
        <v>57</v>
      </c>
      <c r="AM17" s="14" t="s">
        <v>57</v>
      </c>
      <c r="AN17" s="32" t="s">
        <v>57</v>
      </c>
      <c r="AO17" s="39"/>
      <c r="AR17" s="43"/>
      <c r="AS17" s="22">
        <v>10</v>
      </c>
      <c r="AT17" s="14" t="s">
        <v>29</v>
      </c>
      <c r="AU17" s="14" t="str">
        <f t="shared" si="3"/>
        <v>January</v>
      </c>
      <c r="AV17" s="10" t="s">
        <v>12</v>
      </c>
      <c r="AW17" s="22">
        <f t="shared" si="4"/>
        <v>24</v>
      </c>
      <c r="AX17" s="22">
        <f t="shared" si="5"/>
        <v>1</v>
      </c>
      <c r="AY17" s="22">
        <f t="shared" si="6"/>
        <v>2</v>
      </c>
      <c r="AZ17" s="22">
        <f t="shared" si="7"/>
        <v>4</v>
      </c>
      <c r="BA17" s="22">
        <f t="shared" si="8"/>
        <v>31</v>
      </c>
      <c r="BB17" s="22">
        <f>JanMonthlyReport[[#This Row],[Days]]-JanMonthlyReport[[#This Row],[Absent]]</f>
        <v>30</v>
      </c>
      <c r="BC17" s="23">
        <v>13000</v>
      </c>
      <c r="BD17" s="23">
        <f>JanMonthlyReport[[#This Row],[Basic Salary]]/JanMonthlyReport[[#This Row],[Days]]</f>
        <v>419.35483870967744</v>
      </c>
      <c r="BE17" s="23">
        <f>JanMonthlyReport[[#This Row],[Per Day Salary]]*JanMonthlyReport[[#This Row],[Absent]]</f>
        <v>419.35483870967744</v>
      </c>
      <c r="BF17" s="26">
        <f>JanMonthlyReport[[#This Row],[Basic Salary]]-JanMonthlyReport[[#This Row],[Deduction]]</f>
        <v>12580.645161290322</v>
      </c>
      <c r="BG17" s="21"/>
      <c r="BH17" s="43"/>
    </row>
    <row r="18" spans="1:60" x14ac:dyDescent="0.25">
      <c r="A18"/>
      <c r="B18"/>
      <c r="E18" s="39"/>
      <c r="F18" s="24">
        <v>11</v>
      </c>
      <c r="G18" s="14" t="s">
        <v>30</v>
      </c>
      <c r="H18" s="10" t="s">
        <v>13</v>
      </c>
      <c r="I18" s="15">
        <f t="shared" si="9"/>
        <v>4</v>
      </c>
      <c r="J18" s="14" t="s">
        <v>57</v>
      </c>
      <c r="K18" s="14" t="s">
        <v>57</v>
      </c>
      <c r="L18" s="14" t="s">
        <v>57</v>
      </c>
      <c r="M18" s="14" t="str">
        <f t="shared" si="11"/>
        <v>WO</v>
      </c>
      <c r="N18" s="14" t="s">
        <v>57</v>
      </c>
      <c r="O18" s="14" t="s">
        <v>57</v>
      </c>
      <c r="P18" s="14" t="s">
        <v>57</v>
      </c>
      <c r="Q18" s="14" t="s">
        <v>57</v>
      </c>
      <c r="R18" s="14" t="s">
        <v>57</v>
      </c>
      <c r="S18" s="14" t="s">
        <v>58</v>
      </c>
      <c r="T18" s="14" t="str">
        <f t="shared" si="11"/>
        <v>WO</v>
      </c>
      <c r="U18" s="14" t="s">
        <v>57</v>
      </c>
      <c r="V18" s="14" t="s">
        <v>57</v>
      </c>
      <c r="W18" s="14" t="s">
        <v>57</v>
      </c>
      <c r="X18" s="14" t="s">
        <v>57</v>
      </c>
      <c r="Y18" s="14" t="s">
        <v>57</v>
      </c>
      <c r="Z18" s="14" t="s">
        <v>57</v>
      </c>
      <c r="AA18" s="14" t="str">
        <f t="shared" si="10"/>
        <v>WO</v>
      </c>
      <c r="AB18" s="14" t="s">
        <v>57</v>
      </c>
      <c r="AC18" s="14" t="s">
        <v>57</v>
      </c>
      <c r="AD18" s="14" t="s">
        <v>57</v>
      </c>
      <c r="AE18" s="14" t="s">
        <v>57</v>
      </c>
      <c r="AF18" s="14" t="s">
        <v>57</v>
      </c>
      <c r="AG18" s="14" t="s">
        <v>57</v>
      </c>
      <c r="AH18" s="14" t="str">
        <f t="shared" si="10"/>
        <v>WO</v>
      </c>
      <c r="AI18" s="14" t="s">
        <v>57</v>
      </c>
      <c r="AJ18" s="14" t="s">
        <v>57</v>
      </c>
      <c r="AK18" s="14" t="s">
        <v>58</v>
      </c>
      <c r="AL18" s="14" t="s">
        <v>57</v>
      </c>
      <c r="AM18" s="14" t="s">
        <v>57</v>
      </c>
      <c r="AN18" s="32" t="s">
        <v>57</v>
      </c>
      <c r="AO18" s="39"/>
      <c r="AR18" s="43"/>
      <c r="AS18" s="22">
        <v>11</v>
      </c>
      <c r="AT18" s="14" t="s">
        <v>30</v>
      </c>
      <c r="AU18" s="14" t="str">
        <f t="shared" si="3"/>
        <v>January</v>
      </c>
      <c r="AV18" s="10" t="s">
        <v>13</v>
      </c>
      <c r="AW18" s="22">
        <f t="shared" si="4"/>
        <v>25</v>
      </c>
      <c r="AX18" s="22">
        <f t="shared" si="5"/>
        <v>0</v>
      </c>
      <c r="AY18" s="22">
        <f t="shared" si="6"/>
        <v>2</v>
      </c>
      <c r="AZ18" s="22">
        <f t="shared" si="7"/>
        <v>4</v>
      </c>
      <c r="BA18" s="22">
        <f t="shared" si="8"/>
        <v>31</v>
      </c>
      <c r="BB18" s="22">
        <f>JanMonthlyReport[[#This Row],[Days]]-JanMonthlyReport[[#This Row],[Absent]]</f>
        <v>31</v>
      </c>
      <c r="BC18" s="23">
        <v>10000</v>
      </c>
      <c r="BD18" s="23">
        <f>JanMonthlyReport[[#This Row],[Basic Salary]]/JanMonthlyReport[[#This Row],[Days]]</f>
        <v>322.58064516129031</v>
      </c>
      <c r="BE18" s="23">
        <f>JanMonthlyReport[[#This Row],[Per Day Salary]]*JanMonthlyReport[[#This Row],[Absent]]</f>
        <v>0</v>
      </c>
      <c r="BF18" s="26">
        <f>JanMonthlyReport[[#This Row],[Basic Salary]]-JanMonthlyReport[[#This Row],[Deduction]]</f>
        <v>10000</v>
      </c>
      <c r="BG18" s="21"/>
      <c r="BH18" s="43"/>
    </row>
    <row r="19" spans="1:60" x14ac:dyDescent="0.25">
      <c r="A19"/>
      <c r="B19"/>
      <c r="E19" s="39"/>
      <c r="F19" s="24">
        <v>12</v>
      </c>
      <c r="G19" s="14" t="s">
        <v>31</v>
      </c>
      <c r="H19" s="10" t="s">
        <v>14</v>
      </c>
      <c r="I19" s="15">
        <f t="shared" si="9"/>
        <v>4</v>
      </c>
      <c r="J19" s="14" t="s">
        <v>57</v>
      </c>
      <c r="K19" s="14" t="s">
        <v>57</v>
      </c>
      <c r="L19" s="14" t="s">
        <v>57</v>
      </c>
      <c r="M19" s="14" t="str">
        <f t="shared" si="11"/>
        <v>WO</v>
      </c>
      <c r="N19" s="14" t="s">
        <v>57</v>
      </c>
      <c r="O19" s="14" t="s">
        <v>57</v>
      </c>
      <c r="P19" s="14" t="s">
        <v>57</v>
      </c>
      <c r="Q19" s="14" t="s">
        <v>57</v>
      </c>
      <c r="R19" s="14" t="s">
        <v>57</v>
      </c>
      <c r="S19" s="14" t="s">
        <v>58</v>
      </c>
      <c r="T19" s="14" t="str">
        <f t="shared" si="11"/>
        <v>WO</v>
      </c>
      <c r="U19" s="14" t="s">
        <v>57</v>
      </c>
      <c r="V19" s="14" t="s">
        <v>57</v>
      </c>
      <c r="W19" s="14" t="s">
        <v>57</v>
      </c>
      <c r="X19" s="14" t="s">
        <v>57</v>
      </c>
      <c r="Y19" s="14" t="s">
        <v>57</v>
      </c>
      <c r="Z19" s="14" t="s">
        <v>57</v>
      </c>
      <c r="AA19" s="14" t="str">
        <f t="shared" si="10"/>
        <v>WO</v>
      </c>
      <c r="AB19" s="14" t="s">
        <v>57</v>
      </c>
      <c r="AC19" s="14" t="s">
        <v>57</v>
      </c>
      <c r="AD19" s="14" t="s">
        <v>59</v>
      </c>
      <c r="AE19" s="14" t="s">
        <v>57</v>
      </c>
      <c r="AF19" s="14" t="s">
        <v>59</v>
      </c>
      <c r="AG19" s="14" t="s">
        <v>57</v>
      </c>
      <c r="AH19" s="14" t="str">
        <f t="shared" si="10"/>
        <v>WO</v>
      </c>
      <c r="AI19" s="14" t="s">
        <v>57</v>
      </c>
      <c r="AJ19" s="14" t="s">
        <v>57</v>
      </c>
      <c r="AK19" s="14" t="s">
        <v>58</v>
      </c>
      <c r="AL19" s="14" t="s">
        <v>57</v>
      </c>
      <c r="AM19" s="14" t="s">
        <v>57</v>
      </c>
      <c r="AN19" s="32" t="s">
        <v>57</v>
      </c>
      <c r="AO19" s="39"/>
      <c r="AR19" s="43"/>
      <c r="AS19" s="22">
        <v>12</v>
      </c>
      <c r="AT19" s="14" t="s">
        <v>31</v>
      </c>
      <c r="AU19" s="14" t="str">
        <f t="shared" si="3"/>
        <v>January</v>
      </c>
      <c r="AV19" s="10" t="s">
        <v>14</v>
      </c>
      <c r="AW19" s="22">
        <f t="shared" si="4"/>
        <v>23</v>
      </c>
      <c r="AX19" s="22">
        <f t="shared" si="5"/>
        <v>2</v>
      </c>
      <c r="AY19" s="22">
        <f t="shared" si="6"/>
        <v>2</v>
      </c>
      <c r="AZ19" s="22">
        <f t="shared" si="7"/>
        <v>4</v>
      </c>
      <c r="BA19" s="22">
        <f t="shared" si="8"/>
        <v>31</v>
      </c>
      <c r="BB19" s="22">
        <f>JanMonthlyReport[[#This Row],[Days]]-JanMonthlyReport[[#This Row],[Absent]]</f>
        <v>29</v>
      </c>
      <c r="BC19" s="23">
        <v>9000</v>
      </c>
      <c r="BD19" s="23">
        <f>JanMonthlyReport[[#This Row],[Basic Salary]]/JanMonthlyReport[[#This Row],[Days]]</f>
        <v>290.32258064516128</v>
      </c>
      <c r="BE19" s="23">
        <f>JanMonthlyReport[[#This Row],[Per Day Salary]]*JanMonthlyReport[[#This Row],[Absent]]</f>
        <v>580.64516129032256</v>
      </c>
      <c r="BF19" s="26">
        <f>JanMonthlyReport[[#This Row],[Basic Salary]]-JanMonthlyReport[[#This Row],[Deduction]]</f>
        <v>8419.354838709678</v>
      </c>
      <c r="BG19" s="21"/>
      <c r="BH19" s="43"/>
    </row>
    <row r="20" spans="1:60" x14ac:dyDescent="0.25">
      <c r="A20"/>
      <c r="B20"/>
      <c r="E20" s="39"/>
      <c r="F20" s="24">
        <v>13</v>
      </c>
      <c r="G20" s="14" t="s">
        <v>32</v>
      </c>
      <c r="H20" s="10" t="s">
        <v>15</v>
      </c>
      <c r="I20" s="15">
        <f t="shared" si="9"/>
        <v>4</v>
      </c>
      <c r="J20" s="14" t="s">
        <v>57</v>
      </c>
      <c r="K20" s="14" t="s">
        <v>57</v>
      </c>
      <c r="L20" s="14" t="s">
        <v>57</v>
      </c>
      <c r="M20" s="14" t="str">
        <f t="shared" si="11"/>
        <v>WO</v>
      </c>
      <c r="N20" s="14" t="s">
        <v>57</v>
      </c>
      <c r="O20" s="14" t="s">
        <v>57</v>
      </c>
      <c r="P20" s="14" t="s">
        <v>57</v>
      </c>
      <c r="Q20" s="14" t="s">
        <v>57</v>
      </c>
      <c r="R20" s="14" t="s">
        <v>57</v>
      </c>
      <c r="S20" s="14" t="s">
        <v>58</v>
      </c>
      <c r="T20" s="14" t="str">
        <f t="shared" si="11"/>
        <v>WO</v>
      </c>
      <c r="U20" s="14" t="s">
        <v>57</v>
      </c>
      <c r="V20" s="14" t="s">
        <v>57</v>
      </c>
      <c r="W20" s="14" t="s">
        <v>57</v>
      </c>
      <c r="X20" s="14" t="s">
        <v>57</v>
      </c>
      <c r="Y20" s="14" t="s">
        <v>57</v>
      </c>
      <c r="Z20" s="14" t="s">
        <v>57</v>
      </c>
      <c r="AA20" s="14" t="str">
        <f t="shared" si="10"/>
        <v>WO</v>
      </c>
      <c r="AB20" s="14" t="s">
        <v>57</v>
      </c>
      <c r="AC20" s="14" t="s">
        <v>57</v>
      </c>
      <c r="AD20" s="14" t="s">
        <v>57</v>
      </c>
      <c r="AE20" s="14" t="s">
        <v>57</v>
      </c>
      <c r="AF20" s="14" t="s">
        <v>57</v>
      </c>
      <c r="AG20" s="14" t="s">
        <v>57</v>
      </c>
      <c r="AH20" s="14" t="str">
        <f t="shared" si="10"/>
        <v>WO</v>
      </c>
      <c r="AI20" s="14" t="s">
        <v>57</v>
      </c>
      <c r="AJ20" s="14" t="s">
        <v>57</v>
      </c>
      <c r="AK20" s="14" t="s">
        <v>58</v>
      </c>
      <c r="AL20" s="14" t="s">
        <v>57</v>
      </c>
      <c r="AM20" s="14" t="s">
        <v>57</v>
      </c>
      <c r="AN20" s="32" t="s">
        <v>57</v>
      </c>
      <c r="AO20" s="39"/>
      <c r="AR20" s="43"/>
      <c r="AS20" s="22">
        <v>13</v>
      </c>
      <c r="AT20" s="14" t="s">
        <v>32</v>
      </c>
      <c r="AU20" s="14" t="str">
        <f t="shared" si="3"/>
        <v>January</v>
      </c>
      <c r="AV20" s="10" t="s">
        <v>15</v>
      </c>
      <c r="AW20" s="22">
        <f t="shared" si="4"/>
        <v>25</v>
      </c>
      <c r="AX20" s="22">
        <f t="shared" si="5"/>
        <v>0</v>
      </c>
      <c r="AY20" s="22">
        <f t="shared" si="6"/>
        <v>2</v>
      </c>
      <c r="AZ20" s="22">
        <f t="shared" si="7"/>
        <v>4</v>
      </c>
      <c r="BA20" s="22">
        <f t="shared" si="8"/>
        <v>31</v>
      </c>
      <c r="BB20" s="22">
        <f>JanMonthlyReport[[#This Row],[Days]]-JanMonthlyReport[[#This Row],[Absent]]</f>
        <v>31</v>
      </c>
      <c r="BC20" s="23">
        <v>10000</v>
      </c>
      <c r="BD20" s="23">
        <f>JanMonthlyReport[[#This Row],[Basic Salary]]/JanMonthlyReport[[#This Row],[Days]]</f>
        <v>322.58064516129031</v>
      </c>
      <c r="BE20" s="23">
        <f>JanMonthlyReport[[#This Row],[Per Day Salary]]*JanMonthlyReport[[#This Row],[Absent]]</f>
        <v>0</v>
      </c>
      <c r="BF20" s="26">
        <f>JanMonthlyReport[[#This Row],[Basic Salary]]-JanMonthlyReport[[#This Row],[Deduction]]</f>
        <v>10000</v>
      </c>
      <c r="BG20" s="21"/>
      <c r="BH20" s="43"/>
    </row>
    <row r="21" spans="1:60" x14ac:dyDescent="0.25">
      <c r="A21"/>
      <c r="B21"/>
      <c r="E21" s="39"/>
      <c r="F21" s="24">
        <v>14</v>
      </c>
      <c r="G21" s="14" t="s">
        <v>33</v>
      </c>
      <c r="H21" s="10" t="s">
        <v>16</v>
      </c>
      <c r="I21" s="15">
        <f t="shared" si="9"/>
        <v>4</v>
      </c>
      <c r="J21" s="14" t="s">
        <v>57</v>
      </c>
      <c r="K21" s="14" t="s">
        <v>57</v>
      </c>
      <c r="L21" s="14" t="s">
        <v>57</v>
      </c>
      <c r="M21" s="14" t="str">
        <f t="shared" si="11"/>
        <v>WO</v>
      </c>
      <c r="N21" s="14" t="s">
        <v>57</v>
      </c>
      <c r="O21" s="14" t="s">
        <v>57</v>
      </c>
      <c r="P21" s="14" t="s">
        <v>57</v>
      </c>
      <c r="Q21" s="14" t="s">
        <v>57</v>
      </c>
      <c r="R21" s="14" t="s">
        <v>57</v>
      </c>
      <c r="S21" s="14" t="s">
        <v>58</v>
      </c>
      <c r="T21" s="14" t="str">
        <f t="shared" si="11"/>
        <v>WO</v>
      </c>
      <c r="U21" s="14" t="s">
        <v>57</v>
      </c>
      <c r="V21" s="14" t="s">
        <v>57</v>
      </c>
      <c r="W21" s="14" t="s">
        <v>57</v>
      </c>
      <c r="X21" s="14" t="s">
        <v>57</v>
      </c>
      <c r="Y21" s="14" t="s">
        <v>57</v>
      </c>
      <c r="Z21" s="14" t="s">
        <v>57</v>
      </c>
      <c r="AA21" s="14" t="str">
        <f t="shared" si="10"/>
        <v>WO</v>
      </c>
      <c r="AB21" s="14" t="s">
        <v>57</v>
      </c>
      <c r="AC21" s="14" t="s">
        <v>57</v>
      </c>
      <c r="AD21" s="14" t="s">
        <v>57</v>
      </c>
      <c r="AE21" s="14" t="s">
        <v>57</v>
      </c>
      <c r="AF21" s="14" t="s">
        <v>57</v>
      </c>
      <c r="AG21" s="14" t="s">
        <v>57</v>
      </c>
      <c r="AH21" s="14" t="str">
        <f t="shared" si="10"/>
        <v>WO</v>
      </c>
      <c r="AI21" s="14" t="s">
        <v>57</v>
      </c>
      <c r="AJ21" s="14" t="s">
        <v>57</v>
      </c>
      <c r="AK21" s="14" t="s">
        <v>58</v>
      </c>
      <c r="AL21" s="14" t="s">
        <v>57</v>
      </c>
      <c r="AM21" s="14" t="s">
        <v>57</v>
      </c>
      <c r="AN21" s="32" t="s">
        <v>57</v>
      </c>
      <c r="AO21" s="39"/>
      <c r="AR21" s="43"/>
      <c r="AS21" s="22">
        <v>14</v>
      </c>
      <c r="AT21" s="14" t="s">
        <v>33</v>
      </c>
      <c r="AU21" s="14" t="str">
        <f t="shared" si="3"/>
        <v>January</v>
      </c>
      <c r="AV21" s="10" t="s">
        <v>16</v>
      </c>
      <c r="AW21" s="22">
        <f t="shared" si="4"/>
        <v>25</v>
      </c>
      <c r="AX21" s="22">
        <f t="shared" si="5"/>
        <v>0</v>
      </c>
      <c r="AY21" s="22">
        <f t="shared" si="6"/>
        <v>2</v>
      </c>
      <c r="AZ21" s="22">
        <f t="shared" si="7"/>
        <v>4</v>
      </c>
      <c r="BA21" s="22">
        <f t="shared" si="8"/>
        <v>31</v>
      </c>
      <c r="BB21" s="22">
        <f>JanMonthlyReport[[#This Row],[Days]]-JanMonthlyReport[[#This Row],[Absent]]</f>
        <v>31</v>
      </c>
      <c r="BC21" s="23">
        <v>10000</v>
      </c>
      <c r="BD21" s="23">
        <f>JanMonthlyReport[[#This Row],[Basic Salary]]/JanMonthlyReport[[#This Row],[Days]]</f>
        <v>322.58064516129031</v>
      </c>
      <c r="BE21" s="23">
        <f>JanMonthlyReport[[#This Row],[Per Day Salary]]*JanMonthlyReport[[#This Row],[Absent]]</f>
        <v>0</v>
      </c>
      <c r="BF21" s="26">
        <f>JanMonthlyReport[[#This Row],[Basic Salary]]-JanMonthlyReport[[#This Row],[Deduction]]</f>
        <v>10000</v>
      </c>
      <c r="BG21" s="21"/>
      <c r="BH21" s="43"/>
    </row>
    <row r="22" spans="1:60" x14ac:dyDescent="0.25">
      <c r="A22"/>
      <c r="B22"/>
      <c r="E22" s="39"/>
      <c r="F22" s="24">
        <v>15</v>
      </c>
      <c r="G22" s="14" t="s">
        <v>34</v>
      </c>
      <c r="H22" s="10" t="s">
        <v>17</v>
      </c>
      <c r="I22" s="15">
        <f t="shared" si="9"/>
        <v>4</v>
      </c>
      <c r="J22" s="14" t="s">
        <v>57</v>
      </c>
      <c r="K22" s="14" t="s">
        <v>57</v>
      </c>
      <c r="L22" s="14" t="s">
        <v>57</v>
      </c>
      <c r="M22" s="14" t="str">
        <f t="shared" si="11"/>
        <v>WO</v>
      </c>
      <c r="N22" s="14" t="s">
        <v>57</v>
      </c>
      <c r="O22" s="14" t="s">
        <v>57</v>
      </c>
      <c r="P22" s="14" t="s">
        <v>57</v>
      </c>
      <c r="Q22" s="14" t="s">
        <v>57</v>
      </c>
      <c r="R22" s="14" t="s">
        <v>57</v>
      </c>
      <c r="S22" s="14" t="s">
        <v>58</v>
      </c>
      <c r="T22" s="14" t="str">
        <f t="shared" si="11"/>
        <v>WO</v>
      </c>
      <c r="U22" s="14" t="s">
        <v>57</v>
      </c>
      <c r="V22" s="14" t="s">
        <v>57</v>
      </c>
      <c r="W22" s="14" t="s">
        <v>57</v>
      </c>
      <c r="X22" s="14" t="s">
        <v>59</v>
      </c>
      <c r="Y22" s="14" t="s">
        <v>57</v>
      </c>
      <c r="Z22" s="14" t="s">
        <v>57</v>
      </c>
      <c r="AA22" s="14" t="str">
        <f t="shared" si="10"/>
        <v>WO</v>
      </c>
      <c r="AB22" s="14" t="s">
        <v>57</v>
      </c>
      <c r="AC22" s="14" t="s">
        <v>57</v>
      </c>
      <c r="AD22" s="14" t="s">
        <v>57</v>
      </c>
      <c r="AE22" s="14" t="s">
        <v>57</v>
      </c>
      <c r="AF22" s="14" t="s">
        <v>57</v>
      </c>
      <c r="AG22" s="14" t="s">
        <v>57</v>
      </c>
      <c r="AH22" s="14" t="str">
        <f t="shared" si="10"/>
        <v>WO</v>
      </c>
      <c r="AI22" s="14" t="s">
        <v>57</v>
      </c>
      <c r="AJ22" s="14" t="s">
        <v>57</v>
      </c>
      <c r="AK22" s="14" t="s">
        <v>58</v>
      </c>
      <c r="AL22" s="14" t="s">
        <v>57</v>
      </c>
      <c r="AM22" s="14" t="s">
        <v>57</v>
      </c>
      <c r="AN22" s="32" t="s">
        <v>57</v>
      </c>
      <c r="AO22" s="39"/>
      <c r="AR22" s="43"/>
      <c r="AS22" s="22">
        <v>15</v>
      </c>
      <c r="AT22" s="14" t="s">
        <v>34</v>
      </c>
      <c r="AU22" s="14" t="str">
        <f t="shared" si="3"/>
        <v>January</v>
      </c>
      <c r="AV22" s="10" t="s">
        <v>17</v>
      </c>
      <c r="AW22" s="22">
        <f t="shared" si="4"/>
        <v>24</v>
      </c>
      <c r="AX22" s="22">
        <f t="shared" si="5"/>
        <v>1</v>
      </c>
      <c r="AY22" s="22">
        <f t="shared" si="6"/>
        <v>2</v>
      </c>
      <c r="AZ22" s="22">
        <f t="shared" si="7"/>
        <v>4</v>
      </c>
      <c r="BA22" s="22">
        <f t="shared" si="8"/>
        <v>31</v>
      </c>
      <c r="BB22" s="22">
        <f>JanMonthlyReport[[#This Row],[Days]]-JanMonthlyReport[[#This Row],[Absent]]</f>
        <v>30</v>
      </c>
      <c r="BC22" s="23">
        <v>10000</v>
      </c>
      <c r="BD22" s="23">
        <f>JanMonthlyReport[[#This Row],[Basic Salary]]/JanMonthlyReport[[#This Row],[Days]]</f>
        <v>322.58064516129031</v>
      </c>
      <c r="BE22" s="23">
        <f>JanMonthlyReport[[#This Row],[Per Day Salary]]*JanMonthlyReport[[#This Row],[Absent]]</f>
        <v>322.58064516129031</v>
      </c>
      <c r="BF22" s="26">
        <f>JanMonthlyReport[[#This Row],[Basic Salary]]-JanMonthlyReport[[#This Row],[Deduction]]</f>
        <v>9677.4193548387102</v>
      </c>
      <c r="BG22" s="21"/>
      <c r="BH22" s="43"/>
    </row>
    <row r="23" spans="1:60" x14ac:dyDescent="0.25">
      <c r="A23"/>
      <c r="B23"/>
      <c r="E23" s="39"/>
      <c r="F23" s="24">
        <v>16</v>
      </c>
      <c r="G23" s="14" t="s">
        <v>35</v>
      </c>
      <c r="H23" s="10" t="s">
        <v>18</v>
      </c>
      <c r="I23" s="15">
        <f t="shared" si="9"/>
        <v>4</v>
      </c>
      <c r="J23" s="14" t="s">
        <v>57</v>
      </c>
      <c r="K23" s="14" t="s">
        <v>57</v>
      </c>
      <c r="L23" s="14" t="s">
        <v>57</v>
      </c>
      <c r="M23" s="14" t="str">
        <f t="shared" si="11"/>
        <v>WO</v>
      </c>
      <c r="N23" s="14" t="s">
        <v>57</v>
      </c>
      <c r="O23" s="14" t="s">
        <v>57</v>
      </c>
      <c r="P23" s="14" t="s">
        <v>57</v>
      </c>
      <c r="Q23" s="14" t="s">
        <v>57</v>
      </c>
      <c r="R23" s="14" t="s">
        <v>57</v>
      </c>
      <c r="S23" s="14" t="s">
        <v>58</v>
      </c>
      <c r="T23" s="14" t="str">
        <f t="shared" si="11"/>
        <v>WO</v>
      </c>
      <c r="U23" s="14" t="s">
        <v>57</v>
      </c>
      <c r="V23" s="14" t="s">
        <v>57</v>
      </c>
      <c r="W23" s="14" t="s">
        <v>57</v>
      </c>
      <c r="X23" s="14" t="s">
        <v>57</v>
      </c>
      <c r="Y23" s="14" t="s">
        <v>57</v>
      </c>
      <c r="Z23" s="14" t="s">
        <v>57</v>
      </c>
      <c r="AA23" s="14" t="str">
        <f t="shared" si="10"/>
        <v>WO</v>
      </c>
      <c r="AB23" s="14" t="s">
        <v>57</v>
      </c>
      <c r="AC23" s="14" t="s">
        <v>57</v>
      </c>
      <c r="AD23" s="14" t="s">
        <v>57</v>
      </c>
      <c r="AE23" s="14" t="s">
        <v>57</v>
      </c>
      <c r="AF23" s="14" t="s">
        <v>57</v>
      </c>
      <c r="AG23" s="14" t="s">
        <v>57</v>
      </c>
      <c r="AH23" s="14" t="str">
        <f t="shared" si="10"/>
        <v>WO</v>
      </c>
      <c r="AI23" s="14" t="s">
        <v>57</v>
      </c>
      <c r="AJ23" s="14" t="s">
        <v>57</v>
      </c>
      <c r="AK23" s="14" t="s">
        <v>58</v>
      </c>
      <c r="AL23" s="14" t="s">
        <v>57</v>
      </c>
      <c r="AM23" s="14" t="s">
        <v>57</v>
      </c>
      <c r="AN23" s="32" t="s">
        <v>57</v>
      </c>
      <c r="AO23" s="39"/>
      <c r="AR23" s="43"/>
      <c r="AS23" s="22">
        <v>16</v>
      </c>
      <c r="AT23" s="14" t="s">
        <v>35</v>
      </c>
      <c r="AU23" s="14" t="str">
        <f t="shared" si="3"/>
        <v>January</v>
      </c>
      <c r="AV23" s="10" t="s">
        <v>18</v>
      </c>
      <c r="AW23" s="22">
        <f t="shared" si="4"/>
        <v>25</v>
      </c>
      <c r="AX23" s="22">
        <f t="shared" si="5"/>
        <v>0</v>
      </c>
      <c r="AY23" s="22">
        <f t="shared" si="6"/>
        <v>2</v>
      </c>
      <c r="AZ23" s="22">
        <f t="shared" si="7"/>
        <v>4</v>
      </c>
      <c r="BA23" s="22">
        <f t="shared" si="8"/>
        <v>31</v>
      </c>
      <c r="BB23" s="22">
        <f>JanMonthlyReport[[#This Row],[Days]]-JanMonthlyReport[[#This Row],[Absent]]</f>
        <v>31</v>
      </c>
      <c r="BC23" s="23">
        <v>10000</v>
      </c>
      <c r="BD23" s="23">
        <f>JanMonthlyReport[[#This Row],[Basic Salary]]/JanMonthlyReport[[#This Row],[Days]]</f>
        <v>322.58064516129031</v>
      </c>
      <c r="BE23" s="23">
        <f>JanMonthlyReport[[#This Row],[Per Day Salary]]*JanMonthlyReport[[#This Row],[Absent]]</f>
        <v>0</v>
      </c>
      <c r="BF23" s="26">
        <f>JanMonthlyReport[[#This Row],[Basic Salary]]-JanMonthlyReport[[#This Row],[Deduction]]</f>
        <v>10000</v>
      </c>
      <c r="BG23" s="21"/>
      <c r="BH23" s="43"/>
    </row>
    <row r="24" spans="1:60" ht="15.75" thickBot="1" x14ac:dyDescent="0.3">
      <c r="A24"/>
      <c r="B24"/>
      <c r="E24" s="39"/>
      <c r="F24" s="25">
        <v>17</v>
      </c>
      <c r="G24" s="33" t="s">
        <v>36</v>
      </c>
      <c r="H24" s="34" t="s">
        <v>19</v>
      </c>
      <c r="I24" s="35">
        <f t="shared" si="9"/>
        <v>4</v>
      </c>
      <c r="J24" s="33" t="s">
        <v>57</v>
      </c>
      <c r="K24" s="33" t="s">
        <v>57</v>
      </c>
      <c r="L24" s="33" t="s">
        <v>57</v>
      </c>
      <c r="M24" s="33" t="str">
        <f t="shared" si="11"/>
        <v>WO</v>
      </c>
      <c r="N24" s="33" t="s">
        <v>57</v>
      </c>
      <c r="O24" s="33" t="s">
        <v>57</v>
      </c>
      <c r="P24" s="33" t="s">
        <v>57</v>
      </c>
      <c r="Q24" s="33" t="s">
        <v>57</v>
      </c>
      <c r="R24" s="33" t="s">
        <v>57</v>
      </c>
      <c r="S24" s="33" t="s">
        <v>58</v>
      </c>
      <c r="T24" s="33" t="str">
        <f t="shared" si="11"/>
        <v>WO</v>
      </c>
      <c r="U24" s="33" t="s">
        <v>57</v>
      </c>
      <c r="V24" s="33" t="s">
        <v>57</v>
      </c>
      <c r="W24" s="33" t="s">
        <v>57</v>
      </c>
      <c r="X24" s="33" t="s">
        <v>57</v>
      </c>
      <c r="Y24" s="33" t="s">
        <v>57</v>
      </c>
      <c r="Z24" s="33" t="s">
        <v>57</v>
      </c>
      <c r="AA24" s="33" t="str">
        <f t="shared" si="10"/>
        <v>WO</v>
      </c>
      <c r="AB24" s="33" t="s">
        <v>57</v>
      </c>
      <c r="AC24" s="33" t="s">
        <v>57</v>
      </c>
      <c r="AD24" s="33" t="s">
        <v>57</v>
      </c>
      <c r="AE24" s="33" t="s">
        <v>57</v>
      </c>
      <c r="AF24" s="33" t="s">
        <v>57</v>
      </c>
      <c r="AG24" s="33" t="s">
        <v>57</v>
      </c>
      <c r="AH24" s="33" t="str">
        <f t="shared" si="10"/>
        <v>WO</v>
      </c>
      <c r="AI24" s="33" t="s">
        <v>57</v>
      </c>
      <c r="AJ24" s="33" t="s">
        <v>57</v>
      </c>
      <c r="AK24" s="33" t="s">
        <v>58</v>
      </c>
      <c r="AL24" s="33" t="s">
        <v>57</v>
      </c>
      <c r="AM24" s="33" t="s">
        <v>57</v>
      </c>
      <c r="AN24" s="36" t="s">
        <v>57</v>
      </c>
      <c r="AO24" s="39"/>
      <c r="AR24" s="43"/>
      <c r="AS24" s="22">
        <v>17</v>
      </c>
      <c r="AT24" s="14" t="s">
        <v>36</v>
      </c>
      <c r="AU24" s="14" t="str">
        <f t="shared" si="3"/>
        <v>January</v>
      </c>
      <c r="AV24" s="10" t="s">
        <v>19</v>
      </c>
      <c r="AW24" s="22">
        <f t="shared" si="4"/>
        <v>25</v>
      </c>
      <c r="AX24" s="22">
        <f t="shared" si="5"/>
        <v>0</v>
      </c>
      <c r="AY24" s="22">
        <f t="shared" si="6"/>
        <v>2</v>
      </c>
      <c r="AZ24" s="22">
        <f t="shared" si="7"/>
        <v>4</v>
      </c>
      <c r="BA24" s="22">
        <f t="shared" si="8"/>
        <v>31</v>
      </c>
      <c r="BB24" s="22">
        <f>JanMonthlyReport[[#This Row],[Days]]-JanMonthlyReport[[#This Row],[Absent]]</f>
        <v>31</v>
      </c>
      <c r="BC24" s="23">
        <v>9000</v>
      </c>
      <c r="BD24" s="23">
        <f>JanMonthlyReport[[#This Row],[Basic Salary]]/JanMonthlyReport[[#This Row],[Days]]</f>
        <v>290.32258064516128</v>
      </c>
      <c r="BE24" s="23">
        <f>JanMonthlyReport[[#This Row],[Per Day Salary]]*JanMonthlyReport[[#This Row],[Absent]]</f>
        <v>0</v>
      </c>
      <c r="BF24" s="26">
        <f>JanMonthlyReport[[#This Row],[Basic Salary]]-JanMonthlyReport[[#This Row],[Deduction]]</f>
        <v>9000</v>
      </c>
      <c r="BG24" s="21"/>
      <c r="BH24" s="43"/>
    </row>
    <row r="25" spans="1:60" x14ac:dyDescent="0.25">
      <c r="A25"/>
      <c r="B25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</row>
    <row r="26" spans="1:60" x14ac:dyDescent="0.25">
      <c r="A26"/>
      <c r="B26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</row>
    <row r="27" spans="1:60" x14ac:dyDescent="0.25">
      <c r="A27"/>
      <c r="B27"/>
    </row>
    <row r="28" spans="1:60" x14ac:dyDescent="0.25">
      <c r="A28"/>
      <c r="B28"/>
    </row>
    <row r="29" spans="1:60" x14ac:dyDescent="0.25">
      <c r="A29"/>
      <c r="B29"/>
    </row>
    <row r="30" spans="1:60" x14ac:dyDescent="0.25">
      <c r="A30"/>
      <c r="B30"/>
    </row>
    <row r="31" spans="1:60" x14ac:dyDescent="0.25">
      <c r="A31"/>
      <c r="B31"/>
    </row>
    <row r="32" spans="1:60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</sheetData>
  <mergeCells count="1">
    <mergeCell ref="F6:H6"/>
  </mergeCells>
  <conditionalFormatting sqref="AQ7 J8:AN24">
    <cfRule type="containsText" dxfId="345" priority="8" operator="containsText" text="WO">
      <formula>NOT(ISERROR(SEARCH("WO",J7)))</formula>
    </cfRule>
  </conditionalFormatting>
  <conditionalFormatting sqref="G4 I8:AN24">
    <cfRule type="containsText" dxfId="344" priority="7" operator="containsText" text="WO">
      <formula>NOT(ISERROR(SEARCH("WO",G4)))</formula>
    </cfRule>
  </conditionalFormatting>
  <conditionalFormatting sqref="J8:AN24">
    <cfRule type="containsText" dxfId="341" priority="3" operator="containsText" text="P">
      <formula>NOT(ISERROR(SEARCH("P",J8)))</formula>
    </cfRule>
    <cfRule type="containsText" dxfId="343" priority="2" operator="containsText" text="A">
      <formula>NOT(ISERROR(SEARCH("A",J8)))</formula>
    </cfRule>
    <cfRule type="containsText" dxfId="342" priority="1" operator="containsText" text="L">
      <formula>NOT(ISERROR(SEARCH("L",J8)))</formula>
    </cfRule>
  </conditionalFormatting>
  <dataValidations count="3">
    <dataValidation type="list" allowBlank="1" showInputMessage="1" showErrorMessage="1" sqref="J8:L24 AI8:AN24" xr:uid="{AF97C40B-CF70-4E65-813E-D39D0722BC93}">
      <formula1>"P,A,L"</formula1>
    </dataValidation>
    <dataValidation type="list" allowBlank="1" showInputMessage="1" showErrorMessage="1" sqref="N8:S24 U8:Z24" xr:uid="{2D410E87-D99A-4FF7-9C7E-D9C3F29696F6}">
      <formula1>"P, A, L"</formula1>
    </dataValidation>
    <dataValidation type="list" allowBlank="1" showInputMessage="1" showErrorMessage="1" sqref="AB8:AG24" xr:uid="{630D37EE-9115-4EEA-9827-D3329E184DDE}">
      <formula1>"P,A, L"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EB3DA6-CF79-45E6-87C4-A07F0FDFE7A6}">
          <x14:formula1>
            <xm:f>Rough!$A$1:$A$12</xm:f>
          </x14:formula1>
          <xm:sqref>G4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DFC6A209-D620-474F-8C0B-67CAB749DAF5}">
          <x14:colorSeries theme="7"/>
          <x14:colorNegative rgb="FFFF0000"/>
          <x14:colorAxis rgb="FF000000"/>
          <x14:colorMarkers theme="7" tint="-0.499984740745262"/>
          <x14:colorFirst theme="7" tint="0.39997558519241921"/>
          <x14:colorLast theme="7" tint="0.39997558519241921"/>
          <x14:colorHigh theme="9" tint="-0.249977111117893"/>
          <x14:colorLow theme="7"/>
          <x14:sparklines>
            <x14:sparkline>
              <xm:f>Jan!AW8:AY8</xm:f>
              <xm:sqref>BG8</xm:sqref>
            </x14:sparkline>
            <x14:sparkline>
              <xm:f>Jan!AW9:AY9</xm:f>
              <xm:sqref>BG9</xm:sqref>
            </x14:sparkline>
            <x14:sparkline>
              <xm:f>Jan!AW10:AY10</xm:f>
              <xm:sqref>BG10</xm:sqref>
            </x14:sparkline>
            <x14:sparkline>
              <xm:f>Jan!AW11:AY11</xm:f>
              <xm:sqref>BG11</xm:sqref>
            </x14:sparkline>
            <x14:sparkline>
              <xm:f>Jan!AW12:AY12</xm:f>
              <xm:sqref>BG12</xm:sqref>
            </x14:sparkline>
            <x14:sparkline>
              <xm:f>Jan!AW13:AY13</xm:f>
              <xm:sqref>BG13</xm:sqref>
            </x14:sparkline>
            <x14:sparkline>
              <xm:f>Jan!AW14:AY14</xm:f>
              <xm:sqref>BG14</xm:sqref>
            </x14:sparkline>
            <x14:sparkline>
              <xm:f>Jan!AW15:AY15</xm:f>
              <xm:sqref>BG15</xm:sqref>
            </x14:sparkline>
            <x14:sparkline>
              <xm:f>Jan!AW16:AY16</xm:f>
              <xm:sqref>BG16</xm:sqref>
            </x14:sparkline>
            <x14:sparkline>
              <xm:f>Jan!AW17:AY17</xm:f>
              <xm:sqref>BG17</xm:sqref>
            </x14:sparkline>
            <x14:sparkline>
              <xm:f>Jan!AW18:AY18</xm:f>
              <xm:sqref>BG18</xm:sqref>
            </x14:sparkline>
            <x14:sparkline>
              <xm:f>Jan!AW19:AY19</xm:f>
              <xm:sqref>BG19</xm:sqref>
            </x14:sparkline>
            <x14:sparkline>
              <xm:f>Jan!AW20:AY20</xm:f>
              <xm:sqref>BG20</xm:sqref>
            </x14:sparkline>
            <x14:sparkline>
              <xm:f>Jan!AW21:AY21</xm:f>
              <xm:sqref>BG21</xm:sqref>
            </x14:sparkline>
            <x14:sparkline>
              <xm:f>Jan!AW22:AY22</xm:f>
              <xm:sqref>BG22</xm:sqref>
            </x14:sparkline>
            <x14:sparkline>
              <xm:f>Jan!AW23:AY23</xm:f>
              <xm:sqref>BG23</xm:sqref>
            </x14:sparkline>
            <x14:sparkline>
              <xm:f>Jan!AW24:AY24</xm:f>
              <xm:sqref>BG24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E55D-BA50-4484-890B-763273A229F5}">
  <dimension ref="A1:BH36"/>
  <sheetViews>
    <sheetView topLeftCell="AQ1" zoomScale="80" zoomScaleNormal="80" workbookViewId="0">
      <selection activeCell="BI21" sqref="BI21"/>
    </sheetView>
  </sheetViews>
  <sheetFormatPr defaultRowHeight="15" x14ac:dyDescent="0.25"/>
  <cols>
    <col min="1" max="5" width="9.140625" style="37"/>
    <col min="6" max="6" width="8.28515625" style="37" bestFit="1" customWidth="1"/>
    <col min="7" max="7" width="14.7109375" style="37" bestFit="1" customWidth="1"/>
    <col min="8" max="8" width="24" style="37" bestFit="1" customWidth="1"/>
    <col min="9" max="9" width="9.85546875" style="37" bestFit="1" customWidth="1"/>
    <col min="10" max="10" width="8.42578125" style="37" bestFit="1" customWidth="1"/>
    <col min="11" max="11" width="6.42578125" style="37" customWidth="1"/>
    <col min="12" max="12" width="5.85546875" style="37" bestFit="1" customWidth="1"/>
    <col min="13" max="13" width="6.42578125" style="37" bestFit="1" customWidth="1"/>
    <col min="14" max="14" width="6.5703125" style="37" bestFit="1" customWidth="1"/>
    <col min="15" max="15" width="6.140625" style="37" bestFit="1" customWidth="1"/>
    <col min="16" max="16" width="6.85546875" style="37" bestFit="1" customWidth="1"/>
    <col min="17" max="17" width="6.140625" style="37" bestFit="1" customWidth="1"/>
    <col min="18" max="18" width="4.7109375" style="37" bestFit="1" customWidth="1"/>
    <col min="19" max="19" width="5.85546875" style="37" bestFit="1" customWidth="1"/>
    <col min="20" max="20" width="6.42578125" style="37" bestFit="1" customWidth="1"/>
    <col min="21" max="21" width="6.5703125" style="37" bestFit="1" customWidth="1"/>
    <col min="22" max="22" width="6.140625" style="37" bestFit="1" customWidth="1"/>
    <col min="23" max="23" width="6.85546875" style="37" bestFit="1" customWidth="1"/>
    <col min="24" max="24" width="6.140625" style="37" bestFit="1" customWidth="1"/>
    <col min="25" max="25" width="4.7109375" style="37" bestFit="1" customWidth="1"/>
    <col min="26" max="26" width="5.85546875" style="37" bestFit="1" customWidth="1"/>
    <col min="27" max="27" width="6.42578125" style="37" bestFit="1" customWidth="1"/>
    <col min="28" max="28" width="6.5703125" style="37" bestFit="1" customWidth="1"/>
    <col min="29" max="29" width="6.140625" style="37" bestFit="1" customWidth="1"/>
    <col min="30" max="30" width="6.85546875" style="37" bestFit="1" customWidth="1"/>
    <col min="31" max="31" width="6.140625" style="37" bestFit="1" customWidth="1"/>
    <col min="32" max="32" width="4.7109375" style="37" bestFit="1" customWidth="1"/>
    <col min="33" max="33" width="5.85546875" style="37" bestFit="1" customWidth="1"/>
    <col min="34" max="34" width="6.42578125" style="37" bestFit="1" customWidth="1"/>
    <col min="35" max="35" width="6.5703125" style="37" bestFit="1" customWidth="1"/>
    <col min="36" max="36" width="6.140625" style="37" bestFit="1" customWidth="1"/>
    <col min="37" max="37" width="6.85546875" style="37" bestFit="1" customWidth="1"/>
    <col min="38" max="38" width="6.140625" style="37" bestFit="1" customWidth="1"/>
    <col min="39" max="39" width="4.5703125" style="37" bestFit="1" customWidth="1"/>
    <col min="40" max="40" width="5.7109375" style="37" bestFit="1" customWidth="1"/>
    <col min="41" max="45" width="9.140625" style="37"/>
    <col min="46" max="47" width="15.140625" style="37" customWidth="1"/>
    <col min="48" max="48" width="21.5703125" style="37" bestFit="1" customWidth="1"/>
    <col min="49" max="49" width="9.85546875" style="37" customWidth="1"/>
    <col min="50" max="50" width="9.28515625" style="37" customWidth="1"/>
    <col min="51" max="51" width="8.42578125" style="37" customWidth="1"/>
    <col min="52" max="52" width="11.85546875" style="37" customWidth="1"/>
    <col min="53" max="53" width="7.7109375" style="37" customWidth="1"/>
    <col min="54" max="54" width="12" style="37" customWidth="1"/>
    <col min="55" max="55" width="14" style="37" customWidth="1"/>
    <col min="56" max="56" width="16.28515625" style="37" customWidth="1"/>
    <col min="57" max="57" width="12.5703125" style="37" bestFit="1" customWidth="1"/>
    <col min="58" max="58" width="13.7109375" style="37" customWidth="1"/>
    <col min="59" max="59" width="16.7109375" style="37" customWidth="1"/>
    <col min="60" max="16384" width="9.140625" style="37"/>
  </cols>
  <sheetData>
    <row r="1" spans="1:6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6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60" x14ac:dyDescent="0.25">
      <c r="A3"/>
      <c r="B3"/>
    </row>
    <row r="4" spans="1:60" x14ac:dyDescent="0.25">
      <c r="A4"/>
      <c r="B4"/>
      <c r="D4"/>
      <c r="E4" s="39"/>
      <c r="F4" s="39" t="s">
        <v>41</v>
      </c>
      <c r="G4" s="40">
        <v>46054</v>
      </c>
      <c r="H4" s="41">
        <f>DATEDIF($G$4,$K$4,"D")+1</f>
        <v>28</v>
      </c>
      <c r="I4" s="39" t="str">
        <f>TEXT(G4,"MMMM")</f>
        <v>February</v>
      </c>
      <c r="J4" s="39" t="s">
        <v>42</v>
      </c>
      <c r="K4" s="40">
        <f>EOMONTH(G4,0)</f>
        <v>46081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60" ht="15.75" thickBot="1" x14ac:dyDescent="0.3">
      <c r="A5"/>
      <c r="B5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</row>
    <row r="6" spans="1:60" x14ac:dyDescent="0.25">
      <c r="A6"/>
      <c r="B6"/>
      <c r="E6" s="39"/>
      <c r="F6" s="46" t="s">
        <v>44</v>
      </c>
      <c r="G6" s="47"/>
      <c r="H6" s="48"/>
      <c r="I6" s="27" t="s">
        <v>43</v>
      </c>
      <c r="J6" s="28" t="str">
        <f>TEXT(J7,"DDD")</f>
        <v>Sun</v>
      </c>
      <c r="K6" s="28" t="str">
        <f t="shared" ref="K6:AN6" si="0">TEXT(K7,"DDD")</f>
        <v>Mon</v>
      </c>
      <c r="L6" s="28" t="str">
        <f t="shared" si="0"/>
        <v>Tue</v>
      </c>
      <c r="M6" s="28" t="str">
        <f t="shared" si="0"/>
        <v>Wed</v>
      </c>
      <c r="N6" s="28" t="str">
        <f t="shared" si="0"/>
        <v>Thu</v>
      </c>
      <c r="O6" s="28" t="str">
        <f t="shared" si="0"/>
        <v>Fri</v>
      </c>
      <c r="P6" s="28" t="str">
        <f t="shared" si="0"/>
        <v>Sat</v>
      </c>
      <c r="Q6" s="28" t="str">
        <f t="shared" si="0"/>
        <v>Sun</v>
      </c>
      <c r="R6" s="28" t="str">
        <f t="shared" si="0"/>
        <v>Mon</v>
      </c>
      <c r="S6" s="28" t="str">
        <f t="shared" si="0"/>
        <v>Tue</v>
      </c>
      <c r="T6" s="28" t="str">
        <f t="shared" si="0"/>
        <v>Wed</v>
      </c>
      <c r="U6" s="28" t="str">
        <f t="shared" si="0"/>
        <v>Thu</v>
      </c>
      <c r="V6" s="28" t="str">
        <f t="shared" si="0"/>
        <v>Fri</v>
      </c>
      <c r="W6" s="28" t="str">
        <f t="shared" si="0"/>
        <v>Sat</v>
      </c>
      <c r="X6" s="28" t="str">
        <f t="shared" si="0"/>
        <v>Sun</v>
      </c>
      <c r="Y6" s="28" t="str">
        <f t="shared" si="0"/>
        <v>Mon</v>
      </c>
      <c r="Z6" s="28" t="str">
        <f t="shared" si="0"/>
        <v>Tue</v>
      </c>
      <c r="AA6" s="28" t="str">
        <f t="shared" si="0"/>
        <v>Wed</v>
      </c>
      <c r="AB6" s="28" t="str">
        <f t="shared" si="0"/>
        <v>Thu</v>
      </c>
      <c r="AC6" s="28" t="str">
        <f t="shared" si="0"/>
        <v>Fri</v>
      </c>
      <c r="AD6" s="28" t="str">
        <f t="shared" si="0"/>
        <v>Sat</v>
      </c>
      <c r="AE6" s="28" t="str">
        <f t="shared" si="0"/>
        <v>Sun</v>
      </c>
      <c r="AF6" s="28" t="str">
        <f t="shared" si="0"/>
        <v>Mon</v>
      </c>
      <c r="AG6" s="28" t="str">
        <f t="shared" si="0"/>
        <v>Tue</v>
      </c>
      <c r="AH6" s="28" t="str">
        <f t="shared" si="0"/>
        <v>Wed</v>
      </c>
      <c r="AI6" s="28" t="str">
        <f t="shared" si="0"/>
        <v>Thu</v>
      </c>
      <c r="AJ6" s="28" t="str">
        <f t="shared" si="0"/>
        <v>Fri</v>
      </c>
      <c r="AK6" s="28" t="str">
        <f t="shared" si="0"/>
        <v>Sat</v>
      </c>
      <c r="AL6" s="28" t="str">
        <f t="shared" si="0"/>
        <v/>
      </c>
      <c r="AM6" s="28" t="str">
        <f t="shared" si="0"/>
        <v/>
      </c>
      <c r="AN6" s="29" t="str">
        <f t="shared" si="0"/>
        <v/>
      </c>
      <c r="AO6" s="42" t="str">
        <f>IF(AN7 &lt; $K$4,AN7+1,"")</f>
        <v/>
      </c>
      <c r="AP6" s="38"/>
      <c r="AQ6" s="38"/>
      <c r="AR6" s="44"/>
      <c r="AS6" s="44"/>
      <c r="AT6" s="44"/>
      <c r="AU6" s="44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</row>
    <row r="7" spans="1:60" ht="15.75" thickBot="1" x14ac:dyDescent="0.3">
      <c r="A7"/>
      <c r="B7"/>
      <c r="E7" s="39"/>
      <c r="F7" s="30" t="s">
        <v>37</v>
      </c>
      <c r="G7" s="12" t="s">
        <v>38</v>
      </c>
      <c r="H7" s="13" t="s">
        <v>39</v>
      </c>
      <c r="I7" s="16" t="s">
        <v>40</v>
      </c>
      <c r="J7" s="17">
        <f>G4</f>
        <v>46054</v>
      </c>
      <c r="K7" s="17">
        <f t="shared" ref="K7:AN7" si="1">IF(J7 &lt; $K$4,J7+1,"")</f>
        <v>46055</v>
      </c>
      <c r="L7" s="17">
        <f t="shared" si="1"/>
        <v>46056</v>
      </c>
      <c r="M7" s="17">
        <f t="shared" si="1"/>
        <v>46057</v>
      </c>
      <c r="N7" s="17">
        <f t="shared" si="1"/>
        <v>46058</v>
      </c>
      <c r="O7" s="17">
        <f t="shared" si="1"/>
        <v>46059</v>
      </c>
      <c r="P7" s="17">
        <f t="shared" si="1"/>
        <v>46060</v>
      </c>
      <c r="Q7" s="17">
        <f t="shared" si="1"/>
        <v>46061</v>
      </c>
      <c r="R7" s="17">
        <f t="shared" si="1"/>
        <v>46062</v>
      </c>
      <c r="S7" s="17">
        <f t="shared" si="1"/>
        <v>46063</v>
      </c>
      <c r="T7" s="17">
        <f t="shared" si="1"/>
        <v>46064</v>
      </c>
      <c r="U7" s="17">
        <f t="shared" si="1"/>
        <v>46065</v>
      </c>
      <c r="V7" s="17">
        <f t="shared" si="1"/>
        <v>46066</v>
      </c>
      <c r="W7" s="17">
        <f t="shared" si="1"/>
        <v>46067</v>
      </c>
      <c r="X7" s="17">
        <f t="shared" si="1"/>
        <v>46068</v>
      </c>
      <c r="Y7" s="17">
        <f t="shared" si="1"/>
        <v>46069</v>
      </c>
      <c r="Z7" s="17">
        <f t="shared" si="1"/>
        <v>46070</v>
      </c>
      <c r="AA7" s="17">
        <f t="shared" si="1"/>
        <v>46071</v>
      </c>
      <c r="AB7" s="17">
        <f t="shared" si="1"/>
        <v>46072</v>
      </c>
      <c r="AC7" s="17">
        <f t="shared" si="1"/>
        <v>46073</v>
      </c>
      <c r="AD7" s="17">
        <f t="shared" si="1"/>
        <v>46074</v>
      </c>
      <c r="AE7" s="17">
        <f t="shared" si="1"/>
        <v>46075</v>
      </c>
      <c r="AF7" s="17">
        <f t="shared" si="1"/>
        <v>46076</v>
      </c>
      <c r="AG7" s="17">
        <f t="shared" si="1"/>
        <v>46077</v>
      </c>
      <c r="AH7" s="17">
        <f t="shared" si="1"/>
        <v>46078</v>
      </c>
      <c r="AI7" s="17">
        <f t="shared" si="1"/>
        <v>46079</v>
      </c>
      <c r="AJ7" s="17">
        <f t="shared" si="1"/>
        <v>46080</v>
      </c>
      <c r="AK7" s="17">
        <f t="shared" si="1"/>
        <v>46081</v>
      </c>
      <c r="AL7" s="17" t="str">
        <f t="shared" si="1"/>
        <v/>
      </c>
      <c r="AM7" s="17" t="str">
        <f t="shared" si="1"/>
        <v/>
      </c>
      <c r="AN7" s="31" t="str">
        <f t="shared" si="1"/>
        <v/>
      </c>
      <c r="AO7" s="39"/>
      <c r="AR7" s="43"/>
      <c r="AS7" s="18" t="s">
        <v>37</v>
      </c>
      <c r="AT7" s="18" t="s">
        <v>38</v>
      </c>
      <c r="AU7" s="18" t="s">
        <v>56</v>
      </c>
      <c r="AV7" s="19" t="s">
        <v>39</v>
      </c>
      <c r="AW7" s="18" t="s">
        <v>45</v>
      </c>
      <c r="AX7" s="18" t="s">
        <v>46</v>
      </c>
      <c r="AY7" s="18" t="s">
        <v>47</v>
      </c>
      <c r="AZ7" s="18" t="s">
        <v>48</v>
      </c>
      <c r="BA7" s="18" t="s">
        <v>49</v>
      </c>
      <c r="BB7" s="18" t="s">
        <v>50</v>
      </c>
      <c r="BC7" s="18" t="s">
        <v>51</v>
      </c>
      <c r="BD7" s="18" t="s">
        <v>52</v>
      </c>
      <c r="BE7" s="18" t="s">
        <v>53</v>
      </c>
      <c r="BF7" s="20" t="s">
        <v>54</v>
      </c>
      <c r="BG7" s="18" t="s">
        <v>55</v>
      </c>
      <c r="BH7" s="43"/>
    </row>
    <row r="8" spans="1:60" x14ac:dyDescent="0.25">
      <c r="A8"/>
      <c r="B8"/>
      <c r="E8" s="39"/>
      <c r="F8" s="24">
        <v>1</v>
      </c>
      <c r="G8" s="14" t="s">
        <v>20</v>
      </c>
      <c r="H8" s="10" t="s">
        <v>3</v>
      </c>
      <c r="I8" s="15">
        <f>COUNTIF($J$6:$AN$6,"sun")</f>
        <v>4</v>
      </c>
      <c r="J8" s="14" t="str">
        <f>IF(J$6 = "sun","WO","")</f>
        <v>WO</v>
      </c>
      <c r="K8" s="14" t="s">
        <v>57</v>
      </c>
      <c r="L8" s="14" t="s">
        <v>57</v>
      </c>
      <c r="M8" s="14" t="s">
        <v>57</v>
      </c>
      <c r="N8" s="14" t="s">
        <v>57</v>
      </c>
      <c r="O8" s="14" t="s">
        <v>57</v>
      </c>
      <c r="P8" s="14" t="s">
        <v>57</v>
      </c>
      <c r="Q8" s="14" t="str">
        <f t="shared" ref="K8:AN16" si="2">IF(Q$6 = "sun","WO","")</f>
        <v>WO</v>
      </c>
      <c r="R8" s="14" t="s">
        <v>57</v>
      </c>
      <c r="S8" s="14" t="s">
        <v>57</v>
      </c>
      <c r="T8" s="14" t="s">
        <v>58</v>
      </c>
      <c r="U8" s="14" t="s">
        <v>57</v>
      </c>
      <c r="V8" s="14" t="s">
        <v>57</v>
      </c>
      <c r="W8" s="14" t="s">
        <v>57</v>
      </c>
      <c r="X8" s="14" t="str">
        <f t="shared" si="2"/>
        <v>WO</v>
      </c>
      <c r="Y8" s="14" t="s">
        <v>57</v>
      </c>
      <c r="Z8" s="14" t="s">
        <v>57</v>
      </c>
      <c r="AA8" s="14" t="s">
        <v>57</v>
      </c>
      <c r="AB8" s="14" t="s">
        <v>57</v>
      </c>
      <c r="AC8" s="14" t="s">
        <v>57</v>
      </c>
      <c r="AD8" s="14" t="s">
        <v>57</v>
      </c>
      <c r="AE8" s="14" t="str">
        <f t="shared" si="2"/>
        <v>WO</v>
      </c>
      <c r="AF8" s="14" t="s">
        <v>57</v>
      </c>
      <c r="AG8" s="14" t="s">
        <v>57</v>
      </c>
      <c r="AH8" s="14" t="s">
        <v>57</v>
      </c>
      <c r="AI8" s="14" t="s">
        <v>57</v>
      </c>
      <c r="AJ8" s="14" t="s">
        <v>57</v>
      </c>
      <c r="AK8" s="14" t="s">
        <v>57</v>
      </c>
      <c r="AL8" s="14" t="str">
        <f t="shared" si="2"/>
        <v/>
      </c>
      <c r="AM8" s="14" t="str">
        <f t="shared" si="2"/>
        <v/>
      </c>
      <c r="AN8" s="32" t="str">
        <f t="shared" si="2"/>
        <v/>
      </c>
      <c r="AO8" s="39"/>
      <c r="AR8" s="43"/>
      <c r="AS8" s="22">
        <v>1</v>
      </c>
      <c r="AT8" s="14" t="s">
        <v>20</v>
      </c>
      <c r="AU8" s="14" t="str">
        <f t="shared" ref="AU8:AU24" si="3">$I$4</f>
        <v>February</v>
      </c>
      <c r="AV8" s="10" t="s">
        <v>3</v>
      </c>
      <c r="AW8" s="22">
        <f t="shared" ref="AW8:AW24" si="4">COUNTIF($J8:$AN8,"P")</f>
        <v>23</v>
      </c>
      <c r="AX8" s="22">
        <f t="shared" ref="AX8:AX24" si="5">COUNTIF($J8:$AN8,"A")</f>
        <v>0</v>
      </c>
      <c r="AY8" s="22">
        <f t="shared" ref="AY8:AY24" si="6">COUNTIF($J8:$AN8,"L")</f>
        <v>1</v>
      </c>
      <c r="AZ8" s="22">
        <f t="shared" ref="AZ8:AZ24" si="7">$I$8</f>
        <v>4</v>
      </c>
      <c r="BA8" s="22">
        <f t="shared" ref="BA8:BA24" si="8">$H$4</f>
        <v>28</v>
      </c>
      <c r="BB8" s="22">
        <f>JanMonthlyReport4[[#This Row],[Days]]-JanMonthlyReport4[[#This Row],[Absent]]</f>
        <v>28</v>
      </c>
      <c r="BC8" s="23">
        <v>100000</v>
      </c>
      <c r="BD8" s="23">
        <f>JanMonthlyReport4[[#This Row],[Basic Salary]]/JanMonthlyReport4[[#This Row],[Days]]</f>
        <v>3571.4285714285716</v>
      </c>
      <c r="BE8" s="23">
        <f>JanMonthlyReport4[[#This Row],[Per Day Salary]]*JanMonthlyReport4[[#This Row],[Absent]]</f>
        <v>0</v>
      </c>
      <c r="BF8" s="26">
        <f>JanMonthlyReport4[[#This Row],[Basic Salary]]-JanMonthlyReport4[[#This Row],[Deduction]]</f>
        <v>100000</v>
      </c>
      <c r="BG8" s="21"/>
      <c r="BH8" s="43"/>
    </row>
    <row r="9" spans="1:60" x14ac:dyDescent="0.25">
      <c r="A9"/>
      <c r="B9"/>
      <c r="E9" s="39"/>
      <c r="F9" s="24">
        <v>2</v>
      </c>
      <c r="G9" s="14" t="s">
        <v>21</v>
      </c>
      <c r="H9" s="10" t="s">
        <v>4</v>
      </c>
      <c r="I9" s="15">
        <f t="shared" ref="I9:I24" si="9">COUNTIF($J$6:$AN$6,"sun")</f>
        <v>4</v>
      </c>
      <c r="J9" s="14" t="str">
        <f t="shared" ref="J9:Y24" si="10">IF(J$6 = "sun","WO","")</f>
        <v>WO</v>
      </c>
      <c r="K9" s="14" t="s">
        <v>57</v>
      </c>
      <c r="L9" s="14" t="s">
        <v>57</v>
      </c>
      <c r="M9" s="14" t="s">
        <v>57</v>
      </c>
      <c r="N9" s="14" t="s">
        <v>57</v>
      </c>
      <c r="O9" s="14" t="s">
        <v>57</v>
      </c>
      <c r="P9" s="14" t="s">
        <v>57</v>
      </c>
      <c r="Q9" s="14" t="str">
        <f t="shared" si="2"/>
        <v>WO</v>
      </c>
      <c r="R9" s="14" t="s">
        <v>57</v>
      </c>
      <c r="S9" s="14" t="s">
        <v>57</v>
      </c>
      <c r="T9" s="14" t="s">
        <v>58</v>
      </c>
      <c r="U9" s="14" t="s">
        <v>57</v>
      </c>
      <c r="V9" s="14" t="s">
        <v>57</v>
      </c>
      <c r="W9" s="14" t="s">
        <v>57</v>
      </c>
      <c r="X9" s="14" t="str">
        <f t="shared" si="2"/>
        <v>WO</v>
      </c>
      <c r="Y9" s="14" t="s">
        <v>57</v>
      </c>
      <c r="Z9" s="14" t="s">
        <v>57</v>
      </c>
      <c r="AA9" s="14" t="s">
        <v>57</v>
      </c>
      <c r="AB9" s="14" t="s">
        <v>57</v>
      </c>
      <c r="AC9" s="14" t="s">
        <v>57</v>
      </c>
      <c r="AD9" s="14" t="s">
        <v>57</v>
      </c>
      <c r="AE9" s="14" t="str">
        <f t="shared" si="2"/>
        <v>WO</v>
      </c>
      <c r="AF9" s="14" t="s">
        <v>57</v>
      </c>
      <c r="AG9" s="14" t="s">
        <v>57</v>
      </c>
      <c r="AH9" s="14" t="s">
        <v>57</v>
      </c>
      <c r="AI9" s="14" t="s">
        <v>57</v>
      </c>
      <c r="AJ9" s="14" t="s">
        <v>57</v>
      </c>
      <c r="AK9" s="14" t="s">
        <v>57</v>
      </c>
      <c r="AL9" s="14" t="str">
        <f t="shared" si="2"/>
        <v/>
      </c>
      <c r="AM9" s="14" t="str">
        <f t="shared" si="2"/>
        <v/>
      </c>
      <c r="AN9" s="32" t="str">
        <f t="shared" si="2"/>
        <v/>
      </c>
      <c r="AO9" s="39"/>
      <c r="AR9" s="43"/>
      <c r="AS9" s="22">
        <v>2</v>
      </c>
      <c r="AT9" s="14" t="s">
        <v>21</v>
      </c>
      <c r="AU9" s="14" t="str">
        <f t="shared" si="3"/>
        <v>February</v>
      </c>
      <c r="AV9" s="10" t="s">
        <v>4</v>
      </c>
      <c r="AW9" s="22">
        <f t="shared" si="4"/>
        <v>23</v>
      </c>
      <c r="AX9" s="22">
        <f t="shared" si="5"/>
        <v>0</v>
      </c>
      <c r="AY9" s="22">
        <f t="shared" si="6"/>
        <v>1</v>
      </c>
      <c r="AZ9" s="22">
        <f t="shared" si="7"/>
        <v>4</v>
      </c>
      <c r="BA9" s="22">
        <f t="shared" si="8"/>
        <v>28</v>
      </c>
      <c r="BB9" s="22">
        <f>JanMonthlyReport4[[#This Row],[Days]]-JanMonthlyReport4[[#This Row],[Absent]]</f>
        <v>28</v>
      </c>
      <c r="BC9" s="23">
        <v>70000</v>
      </c>
      <c r="BD9" s="23">
        <f>JanMonthlyReport4[[#This Row],[Basic Salary]]/JanMonthlyReport4[[#This Row],[Days]]</f>
        <v>2500</v>
      </c>
      <c r="BE9" s="23">
        <f>JanMonthlyReport4[[#This Row],[Per Day Salary]]*JanMonthlyReport4[[#This Row],[Absent]]</f>
        <v>0</v>
      </c>
      <c r="BF9" s="26">
        <f>JanMonthlyReport4[[#This Row],[Basic Salary]]-JanMonthlyReport4[[#This Row],[Deduction]]</f>
        <v>70000</v>
      </c>
      <c r="BG9" s="21"/>
      <c r="BH9" s="43"/>
    </row>
    <row r="10" spans="1:60" x14ac:dyDescent="0.25">
      <c r="A10"/>
      <c r="B10"/>
      <c r="E10" s="39"/>
      <c r="F10" s="24">
        <v>3</v>
      </c>
      <c r="G10" s="14" t="s">
        <v>22</v>
      </c>
      <c r="H10" s="10" t="s">
        <v>5</v>
      </c>
      <c r="I10" s="15">
        <f t="shared" si="9"/>
        <v>4</v>
      </c>
      <c r="J10" s="14" t="str">
        <f t="shared" si="10"/>
        <v>WO</v>
      </c>
      <c r="K10" s="14" t="s">
        <v>57</v>
      </c>
      <c r="L10" s="14" t="s">
        <v>57</v>
      </c>
      <c r="M10" s="14" t="s">
        <v>57</v>
      </c>
      <c r="N10" s="14" t="s">
        <v>57</v>
      </c>
      <c r="O10" s="14" t="s">
        <v>57</v>
      </c>
      <c r="P10" s="14" t="s">
        <v>57</v>
      </c>
      <c r="Q10" s="14" t="str">
        <f t="shared" si="2"/>
        <v>WO</v>
      </c>
      <c r="R10" s="14" t="s">
        <v>57</v>
      </c>
      <c r="S10" s="14" t="s">
        <v>57</v>
      </c>
      <c r="T10" s="14" t="s">
        <v>58</v>
      </c>
      <c r="U10" s="14" t="s">
        <v>57</v>
      </c>
      <c r="V10" s="14" t="s">
        <v>57</v>
      </c>
      <c r="W10" s="14" t="s">
        <v>57</v>
      </c>
      <c r="X10" s="14" t="str">
        <f t="shared" si="2"/>
        <v>WO</v>
      </c>
      <c r="Y10" s="14" t="s">
        <v>57</v>
      </c>
      <c r="Z10" s="14" t="s">
        <v>57</v>
      </c>
      <c r="AA10" s="14" t="s">
        <v>57</v>
      </c>
      <c r="AB10" s="14" t="s">
        <v>57</v>
      </c>
      <c r="AC10" s="14" t="s">
        <v>57</v>
      </c>
      <c r="AD10" s="14" t="s">
        <v>57</v>
      </c>
      <c r="AE10" s="14" t="str">
        <f t="shared" si="2"/>
        <v>WO</v>
      </c>
      <c r="AF10" s="14" t="s">
        <v>57</v>
      </c>
      <c r="AG10" s="14" t="s">
        <v>57</v>
      </c>
      <c r="AH10" s="14" t="s">
        <v>57</v>
      </c>
      <c r="AI10" s="14" t="s">
        <v>57</v>
      </c>
      <c r="AJ10" s="14" t="s">
        <v>57</v>
      </c>
      <c r="AK10" s="14" t="s">
        <v>57</v>
      </c>
      <c r="AL10" s="14" t="str">
        <f t="shared" si="2"/>
        <v/>
      </c>
      <c r="AM10" s="14" t="str">
        <f t="shared" si="2"/>
        <v/>
      </c>
      <c r="AN10" s="32" t="str">
        <f t="shared" si="2"/>
        <v/>
      </c>
      <c r="AO10" s="39"/>
      <c r="AR10" s="43"/>
      <c r="AS10" s="22">
        <v>3</v>
      </c>
      <c r="AT10" s="14" t="s">
        <v>22</v>
      </c>
      <c r="AU10" s="14" t="str">
        <f t="shared" si="3"/>
        <v>February</v>
      </c>
      <c r="AV10" s="10" t="s">
        <v>5</v>
      </c>
      <c r="AW10" s="22">
        <f t="shared" si="4"/>
        <v>23</v>
      </c>
      <c r="AX10" s="22">
        <f t="shared" si="5"/>
        <v>0</v>
      </c>
      <c r="AY10" s="22">
        <f t="shared" si="6"/>
        <v>1</v>
      </c>
      <c r="AZ10" s="22">
        <f t="shared" si="7"/>
        <v>4</v>
      </c>
      <c r="BA10" s="22">
        <f t="shared" si="8"/>
        <v>28</v>
      </c>
      <c r="BB10" s="22">
        <f>JanMonthlyReport4[[#This Row],[Days]]-JanMonthlyReport4[[#This Row],[Absent]]</f>
        <v>28</v>
      </c>
      <c r="BC10" s="23">
        <v>80000</v>
      </c>
      <c r="BD10" s="23">
        <f>JanMonthlyReport4[[#This Row],[Basic Salary]]/JanMonthlyReport4[[#This Row],[Days]]</f>
        <v>2857.1428571428573</v>
      </c>
      <c r="BE10" s="23">
        <f>JanMonthlyReport4[[#This Row],[Per Day Salary]]*JanMonthlyReport4[[#This Row],[Absent]]</f>
        <v>0</v>
      </c>
      <c r="BF10" s="26">
        <f>JanMonthlyReport4[[#This Row],[Basic Salary]]-JanMonthlyReport4[[#This Row],[Deduction]]</f>
        <v>80000</v>
      </c>
      <c r="BG10" s="21"/>
      <c r="BH10" s="43"/>
    </row>
    <row r="11" spans="1:60" x14ac:dyDescent="0.25">
      <c r="A11"/>
      <c r="B11"/>
      <c r="E11" s="39"/>
      <c r="F11" s="24">
        <v>4</v>
      </c>
      <c r="G11" s="14" t="s">
        <v>23</v>
      </c>
      <c r="H11" s="10" t="s">
        <v>6</v>
      </c>
      <c r="I11" s="15">
        <f t="shared" si="9"/>
        <v>4</v>
      </c>
      <c r="J11" s="14" t="str">
        <f t="shared" si="10"/>
        <v>WO</v>
      </c>
      <c r="K11" s="14" t="s">
        <v>57</v>
      </c>
      <c r="L11" s="14" t="s">
        <v>57</v>
      </c>
      <c r="M11" s="14" t="s">
        <v>57</v>
      </c>
      <c r="N11" s="14" t="s">
        <v>57</v>
      </c>
      <c r="O11" s="14" t="s">
        <v>57</v>
      </c>
      <c r="P11" s="14" t="s">
        <v>57</v>
      </c>
      <c r="Q11" s="14" t="str">
        <f t="shared" si="2"/>
        <v>WO</v>
      </c>
      <c r="R11" s="14" t="s">
        <v>57</v>
      </c>
      <c r="S11" s="14" t="s">
        <v>57</v>
      </c>
      <c r="T11" s="14" t="s">
        <v>58</v>
      </c>
      <c r="U11" s="14" t="s">
        <v>57</v>
      </c>
      <c r="V11" s="14" t="s">
        <v>57</v>
      </c>
      <c r="W11" s="14" t="s">
        <v>57</v>
      </c>
      <c r="X11" s="14" t="str">
        <f t="shared" si="2"/>
        <v>WO</v>
      </c>
      <c r="Y11" s="14" t="s">
        <v>57</v>
      </c>
      <c r="Z11" s="14" t="s">
        <v>57</v>
      </c>
      <c r="AA11" s="14" t="s">
        <v>57</v>
      </c>
      <c r="AB11" s="14" t="s">
        <v>57</v>
      </c>
      <c r="AC11" s="14" t="s">
        <v>57</v>
      </c>
      <c r="AD11" s="14" t="s">
        <v>57</v>
      </c>
      <c r="AE11" s="14" t="str">
        <f t="shared" si="2"/>
        <v>WO</v>
      </c>
      <c r="AF11" s="14" t="s">
        <v>57</v>
      </c>
      <c r="AG11" s="14" t="s">
        <v>57</v>
      </c>
      <c r="AH11" s="14" t="s">
        <v>57</v>
      </c>
      <c r="AI11" s="14" t="s">
        <v>57</v>
      </c>
      <c r="AJ11" s="14" t="s">
        <v>57</v>
      </c>
      <c r="AK11" s="14" t="s">
        <v>57</v>
      </c>
      <c r="AL11" s="14" t="str">
        <f t="shared" si="2"/>
        <v/>
      </c>
      <c r="AM11" s="14" t="str">
        <f t="shared" si="2"/>
        <v/>
      </c>
      <c r="AN11" s="32" t="str">
        <f t="shared" si="2"/>
        <v/>
      </c>
      <c r="AO11" s="39"/>
      <c r="AR11" s="43"/>
      <c r="AS11" s="22">
        <v>4</v>
      </c>
      <c r="AT11" s="14" t="s">
        <v>23</v>
      </c>
      <c r="AU11" s="14" t="str">
        <f t="shared" si="3"/>
        <v>February</v>
      </c>
      <c r="AV11" s="10" t="s">
        <v>6</v>
      </c>
      <c r="AW11" s="22">
        <f t="shared" si="4"/>
        <v>23</v>
      </c>
      <c r="AX11" s="22">
        <f t="shared" si="5"/>
        <v>0</v>
      </c>
      <c r="AY11" s="22">
        <f t="shared" si="6"/>
        <v>1</v>
      </c>
      <c r="AZ11" s="22">
        <f t="shared" si="7"/>
        <v>4</v>
      </c>
      <c r="BA11" s="22">
        <f t="shared" si="8"/>
        <v>28</v>
      </c>
      <c r="BB11" s="22">
        <f>JanMonthlyReport4[[#This Row],[Days]]-JanMonthlyReport4[[#This Row],[Absent]]</f>
        <v>28</v>
      </c>
      <c r="BC11" s="23">
        <v>75000</v>
      </c>
      <c r="BD11" s="23">
        <f>JanMonthlyReport4[[#This Row],[Basic Salary]]/JanMonthlyReport4[[#This Row],[Days]]</f>
        <v>2678.5714285714284</v>
      </c>
      <c r="BE11" s="23">
        <f>JanMonthlyReport4[[#This Row],[Per Day Salary]]*JanMonthlyReport4[[#This Row],[Absent]]</f>
        <v>0</v>
      </c>
      <c r="BF11" s="26">
        <f>JanMonthlyReport4[[#This Row],[Basic Salary]]-JanMonthlyReport4[[#This Row],[Deduction]]</f>
        <v>75000</v>
      </c>
      <c r="BG11" s="21"/>
      <c r="BH11" s="43"/>
    </row>
    <row r="12" spans="1:60" x14ac:dyDescent="0.25">
      <c r="A12"/>
      <c r="B12"/>
      <c r="E12" s="39"/>
      <c r="F12" s="24">
        <v>5</v>
      </c>
      <c r="G12" s="14" t="s">
        <v>24</v>
      </c>
      <c r="H12" s="10" t="s">
        <v>7</v>
      </c>
      <c r="I12" s="15">
        <f t="shared" si="9"/>
        <v>4</v>
      </c>
      <c r="J12" s="14" t="str">
        <f t="shared" si="10"/>
        <v>WO</v>
      </c>
      <c r="K12" s="14" t="s">
        <v>57</v>
      </c>
      <c r="L12" s="14" t="s">
        <v>59</v>
      </c>
      <c r="M12" s="14" t="s">
        <v>57</v>
      </c>
      <c r="N12" s="14" t="s">
        <v>57</v>
      </c>
      <c r="O12" s="14" t="s">
        <v>57</v>
      </c>
      <c r="P12" s="14" t="s">
        <v>57</v>
      </c>
      <c r="Q12" s="14" t="str">
        <f t="shared" si="2"/>
        <v>WO</v>
      </c>
      <c r="R12" s="14" t="s">
        <v>57</v>
      </c>
      <c r="S12" s="14" t="s">
        <v>57</v>
      </c>
      <c r="T12" s="14" t="s">
        <v>58</v>
      </c>
      <c r="U12" s="14" t="s">
        <v>57</v>
      </c>
      <c r="V12" s="14" t="s">
        <v>57</v>
      </c>
      <c r="W12" s="14" t="s">
        <v>57</v>
      </c>
      <c r="X12" s="14" t="str">
        <f t="shared" si="2"/>
        <v>WO</v>
      </c>
      <c r="Y12" s="14" t="s">
        <v>57</v>
      </c>
      <c r="Z12" s="14" t="s">
        <v>57</v>
      </c>
      <c r="AA12" s="14" t="s">
        <v>57</v>
      </c>
      <c r="AB12" s="14" t="s">
        <v>57</v>
      </c>
      <c r="AC12" s="14" t="s">
        <v>57</v>
      </c>
      <c r="AD12" s="14" t="s">
        <v>57</v>
      </c>
      <c r="AE12" s="14" t="str">
        <f t="shared" si="2"/>
        <v>WO</v>
      </c>
      <c r="AF12" s="14" t="s">
        <v>57</v>
      </c>
      <c r="AG12" s="14" t="s">
        <v>57</v>
      </c>
      <c r="AH12" s="14" t="s">
        <v>57</v>
      </c>
      <c r="AI12" s="14" t="s">
        <v>57</v>
      </c>
      <c r="AJ12" s="14" t="s">
        <v>57</v>
      </c>
      <c r="AK12" s="14" t="s">
        <v>57</v>
      </c>
      <c r="AL12" s="14" t="str">
        <f t="shared" si="2"/>
        <v/>
      </c>
      <c r="AM12" s="14" t="str">
        <f t="shared" si="2"/>
        <v/>
      </c>
      <c r="AN12" s="32" t="str">
        <f t="shared" si="2"/>
        <v/>
      </c>
      <c r="AO12" s="39"/>
      <c r="AR12" s="43"/>
      <c r="AS12" s="22">
        <v>5</v>
      </c>
      <c r="AT12" s="14" t="s">
        <v>24</v>
      </c>
      <c r="AU12" s="14" t="str">
        <f t="shared" si="3"/>
        <v>February</v>
      </c>
      <c r="AV12" s="10" t="s">
        <v>7</v>
      </c>
      <c r="AW12" s="22">
        <f t="shared" si="4"/>
        <v>22</v>
      </c>
      <c r="AX12" s="22">
        <f t="shared" si="5"/>
        <v>1</v>
      </c>
      <c r="AY12" s="22">
        <f t="shared" si="6"/>
        <v>1</v>
      </c>
      <c r="AZ12" s="22">
        <f t="shared" si="7"/>
        <v>4</v>
      </c>
      <c r="BA12" s="22">
        <f t="shared" si="8"/>
        <v>28</v>
      </c>
      <c r="BB12" s="22">
        <f>JanMonthlyReport4[[#This Row],[Days]]-JanMonthlyReport4[[#This Row],[Absent]]</f>
        <v>27</v>
      </c>
      <c r="BC12" s="23">
        <v>16000</v>
      </c>
      <c r="BD12" s="23">
        <f>JanMonthlyReport4[[#This Row],[Basic Salary]]/JanMonthlyReport4[[#This Row],[Days]]</f>
        <v>571.42857142857144</v>
      </c>
      <c r="BE12" s="23">
        <f>JanMonthlyReport4[[#This Row],[Per Day Salary]]*JanMonthlyReport4[[#This Row],[Absent]]</f>
        <v>571.42857142857144</v>
      </c>
      <c r="BF12" s="26">
        <f>JanMonthlyReport4[[#This Row],[Basic Salary]]-JanMonthlyReport4[[#This Row],[Deduction]]</f>
        <v>15428.571428571429</v>
      </c>
      <c r="BG12" s="21"/>
      <c r="BH12" s="43"/>
    </row>
    <row r="13" spans="1:60" x14ac:dyDescent="0.25">
      <c r="A13"/>
      <c r="B13"/>
      <c r="E13" s="39"/>
      <c r="F13" s="24">
        <v>6</v>
      </c>
      <c r="G13" s="14" t="s">
        <v>25</v>
      </c>
      <c r="H13" s="10" t="s">
        <v>8</v>
      </c>
      <c r="I13" s="15">
        <f t="shared" si="9"/>
        <v>4</v>
      </c>
      <c r="J13" s="14" t="str">
        <f t="shared" si="10"/>
        <v>WO</v>
      </c>
      <c r="K13" s="14" t="s">
        <v>57</v>
      </c>
      <c r="L13" s="14" t="s">
        <v>57</v>
      </c>
      <c r="M13" s="14" t="s">
        <v>57</v>
      </c>
      <c r="N13" s="14" t="s">
        <v>57</v>
      </c>
      <c r="O13" s="14" t="s">
        <v>57</v>
      </c>
      <c r="P13" s="14" t="s">
        <v>57</v>
      </c>
      <c r="Q13" s="14" t="str">
        <f t="shared" si="2"/>
        <v>WO</v>
      </c>
      <c r="R13" s="14" t="s">
        <v>57</v>
      </c>
      <c r="S13" s="14" t="s">
        <v>57</v>
      </c>
      <c r="T13" s="14" t="s">
        <v>58</v>
      </c>
      <c r="U13" s="14" t="s">
        <v>57</v>
      </c>
      <c r="V13" s="14" t="s">
        <v>57</v>
      </c>
      <c r="W13" s="14" t="s">
        <v>57</v>
      </c>
      <c r="X13" s="14" t="str">
        <f t="shared" si="2"/>
        <v>WO</v>
      </c>
      <c r="Y13" s="14" t="s">
        <v>57</v>
      </c>
      <c r="Z13" s="14" t="s">
        <v>57</v>
      </c>
      <c r="AA13" s="14" t="s">
        <v>57</v>
      </c>
      <c r="AB13" s="14" t="s">
        <v>57</v>
      </c>
      <c r="AC13" s="14" t="s">
        <v>57</v>
      </c>
      <c r="AD13" s="14" t="s">
        <v>57</v>
      </c>
      <c r="AE13" s="14" t="str">
        <f t="shared" si="2"/>
        <v>WO</v>
      </c>
      <c r="AF13" s="14" t="s">
        <v>57</v>
      </c>
      <c r="AG13" s="14" t="s">
        <v>57</v>
      </c>
      <c r="AH13" s="14" t="s">
        <v>57</v>
      </c>
      <c r="AI13" s="14" t="s">
        <v>57</v>
      </c>
      <c r="AJ13" s="14" t="s">
        <v>57</v>
      </c>
      <c r="AK13" s="14" t="s">
        <v>57</v>
      </c>
      <c r="AL13" s="14" t="str">
        <f t="shared" si="2"/>
        <v/>
      </c>
      <c r="AM13" s="14" t="str">
        <f t="shared" si="2"/>
        <v/>
      </c>
      <c r="AN13" s="32" t="str">
        <f t="shared" si="2"/>
        <v/>
      </c>
      <c r="AO13" s="39"/>
      <c r="AR13" s="43"/>
      <c r="AS13" s="22">
        <v>6</v>
      </c>
      <c r="AT13" s="14" t="s">
        <v>25</v>
      </c>
      <c r="AU13" s="14" t="str">
        <f t="shared" si="3"/>
        <v>February</v>
      </c>
      <c r="AV13" s="10" t="s">
        <v>8</v>
      </c>
      <c r="AW13" s="22">
        <f t="shared" si="4"/>
        <v>23</v>
      </c>
      <c r="AX13" s="22">
        <f t="shared" si="5"/>
        <v>0</v>
      </c>
      <c r="AY13" s="22">
        <f t="shared" si="6"/>
        <v>1</v>
      </c>
      <c r="AZ13" s="22">
        <f t="shared" si="7"/>
        <v>4</v>
      </c>
      <c r="BA13" s="22">
        <f t="shared" si="8"/>
        <v>28</v>
      </c>
      <c r="BB13" s="22">
        <f>JanMonthlyReport4[[#This Row],[Days]]-JanMonthlyReport4[[#This Row],[Absent]]</f>
        <v>28</v>
      </c>
      <c r="BC13" s="23">
        <v>12000</v>
      </c>
      <c r="BD13" s="23">
        <f>JanMonthlyReport4[[#This Row],[Basic Salary]]/JanMonthlyReport4[[#This Row],[Days]]</f>
        <v>428.57142857142856</v>
      </c>
      <c r="BE13" s="23">
        <f>JanMonthlyReport4[[#This Row],[Per Day Salary]]*JanMonthlyReport4[[#This Row],[Absent]]</f>
        <v>0</v>
      </c>
      <c r="BF13" s="26">
        <f>JanMonthlyReport4[[#This Row],[Basic Salary]]-JanMonthlyReport4[[#This Row],[Deduction]]</f>
        <v>12000</v>
      </c>
      <c r="BG13" s="21"/>
      <c r="BH13" s="43"/>
    </row>
    <row r="14" spans="1:60" x14ac:dyDescent="0.25">
      <c r="A14"/>
      <c r="B14"/>
      <c r="E14" s="39"/>
      <c r="F14" s="24">
        <v>7</v>
      </c>
      <c r="G14" s="14" t="s">
        <v>26</v>
      </c>
      <c r="H14" s="10" t="s">
        <v>9</v>
      </c>
      <c r="I14" s="15">
        <f t="shared" si="9"/>
        <v>4</v>
      </c>
      <c r="J14" s="14" t="str">
        <f t="shared" si="10"/>
        <v>WO</v>
      </c>
      <c r="K14" s="14" t="s">
        <v>57</v>
      </c>
      <c r="L14" s="14" t="s">
        <v>57</v>
      </c>
      <c r="M14" s="14" t="s">
        <v>57</v>
      </c>
      <c r="N14" s="14" t="s">
        <v>57</v>
      </c>
      <c r="O14" s="14" t="s">
        <v>57</v>
      </c>
      <c r="P14" s="14" t="s">
        <v>57</v>
      </c>
      <c r="Q14" s="14" t="str">
        <f t="shared" si="2"/>
        <v>WO</v>
      </c>
      <c r="R14" s="14" t="s">
        <v>57</v>
      </c>
      <c r="S14" s="14" t="s">
        <v>57</v>
      </c>
      <c r="T14" s="14" t="s">
        <v>58</v>
      </c>
      <c r="U14" s="14" t="s">
        <v>59</v>
      </c>
      <c r="V14" s="14" t="s">
        <v>57</v>
      </c>
      <c r="W14" s="14" t="s">
        <v>57</v>
      </c>
      <c r="X14" s="14" t="str">
        <f t="shared" si="2"/>
        <v>WO</v>
      </c>
      <c r="Y14" s="14" t="s">
        <v>57</v>
      </c>
      <c r="Z14" s="14" t="s">
        <v>57</v>
      </c>
      <c r="AA14" s="14" t="s">
        <v>57</v>
      </c>
      <c r="AB14" s="14" t="s">
        <v>57</v>
      </c>
      <c r="AC14" s="14" t="s">
        <v>57</v>
      </c>
      <c r="AD14" s="14" t="s">
        <v>57</v>
      </c>
      <c r="AE14" s="14" t="str">
        <f t="shared" si="2"/>
        <v>WO</v>
      </c>
      <c r="AF14" s="14" t="s">
        <v>57</v>
      </c>
      <c r="AG14" s="14" t="s">
        <v>57</v>
      </c>
      <c r="AH14" s="14" t="s">
        <v>57</v>
      </c>
      <c r="AI14" s="14" t="s">
        <v>57</v>
      </c>
      <c r="AJ14" s="14" t="s">
        <v>57</v>
      </c>
      <c r="AK14" s="14" t="s">
        <v>57</v>
      </c>
      <c r="AL14" s="14" t="str">
        <f t="shared" si="2"/>
        <v/>
      </c>
      <c r="AM14" s="14" t="str">
        <f t="shared" si="2"/>
        <v/>
      </c>
      <c r="AN14" s="32" t="str">
        <f t="shared" si="2"/>
        <v/>
      </c>
      <c r="AO14" s="39"/>
      <c r="AR14" s="43"/>
      <c r="AS14" s="22">
        <v>7</v>
      </c>
      <c r="AT14" s="14" t="s">
        <v>26</v>
      </c>
      <c r="AU14" s="14" t="str">
        <f t="shared" si="3"/>
        <v>February</v>
      </c>
      <c r="AV14" s="10" t="s">
        <v>9</v>
      </c>
      <c r="AW14" s="22">
        <f t="shared" si="4"/>
        <v>22</v>
      </c>
      <c r="AX14" s="22">
        <f t="shared" si="5"/>
        <v>1</v>
      </c>
      <c r="AY14" s="22">
        <f t="shared" si="6"/>
        <v>1</v>
      </c>
      <c r="AZ14" s="22">
        <f t="shared" si="7"/>
        <v>4</v>
      </c>
      <c r="BA14" s="22">
        <f t="shared" si="8"/>
        <v>28</v>
      </c>
      <c r="BB14" s="22">
        <f>JanMonthlyReport4[[#This Row],[Days]]-JanMonthlyReport4[[#This Row],[Absent]]</f>
        <v>27</v>
      </c>
      <c r="BC14" s="23">
        <v>13000</v>
      </c>
      <c r="BD14" s="23">
        <f>JanMonthlyReport4[[#This Row],[Basic Salary]]/JanMonthlyReport4[[#This Row],[Days]]</f>
        <v>464.28571428571428</v>
      </c>
      <c r="BE14" s="23">
        <f>JanMonthlyReport4[[#This Row],[Per Day Salary]]*JanMonthlyReport4[[#This Row],[Absent]]</f>
        <v>464.28571428571428</v>
      </c>
      <c r="BF14" s="26">
        <f>JanMonthlyReport4[[#This Row],[Basic Salary]]-JanMonthlyReport4[[#This Row],[Deduction]]</f>
        <v>12535.714285714286</v>
      </c>
      <c r="BG14" s="21"/>
      <c r="BH14" s="43"/>
    </row>
    <row r="15" spans="1:60" x14ac:dyDescent="0.25">
      <c r="A15"/>
      <c r="B15"/>
      <c r="E15" s="39"/>
      <c r="F15" s="24">
        <v>8</v>
      </c>
      <c r="G15" s="14" t="s">
        <v>27</v>
      </c>
      <c r="H15" s="10" t="s">
        <v>11</v>
      </c>
      <c r="I15" s="15">
        <f t="shared" si="9"/>
        <v>4</v>
      </c>
      <c r="J15" s="14" t="str">
        <f t="shared" si="10"/>
        <v>WO</v>
      </c>
      <c r="K15" s="14" t="s">
        <v>57</v>
      </c>
      <c r="L15" s="14" t="s">
        <v>57</v>
      </c>
      <c r="M15" s="14" t="s">
        <v>57</v>
      </c>
      <c r="N15" s="14" t="s">
        <v>57</v>
      </c>
      <c r="O15" s="14" t="s">
        <v>57</v>
      </c>
      <c r="P15" s="14" t="s">
        <v>57</v>
      </c>
      <c r="Q15" s="14" t="str">
        <f t="shared" si="2"/>
        <v>WO</v>
      </c>
      <c r="R15" s="14" t="s">
        <v>57</v>
      </c>
      <c r="S15" s="14" t="s">
        <v>57</v>
      </c>
      <c r="T15" s="14" t="s">
        <v>58</v>
      </c>
      <c r="U15" s="14" t="s">
        <v>57</v>
      </c>
      <c r="V15" s="14" t="s">
        <v>57</v>
      </c>
      <c r="W15" s="14" t="s">
        <v>57</v>
      </c>
      <c r="X15" s="14" t="str">
        <f t="shared" si="2"/>
        <v>WO</v>
      </c>
      <c r="Y15" s="14" t="s">
        <v>57</v>
      </c>
      <c r="Z15" s="14" t="s">
        <v>57</v>
      </c>
      <c r="AA15" s="14" t="s">
        <v>57</v>
      </c>
      <c r="AB15" s="14" t="s">
        <v>57</v>
      </c>
      <c r="AC15" s="14" t="s">
        <v>57</v>
      </c>
      <c r="AD15" s="14" t="s">
        <v>57</v>
      </c>
      <c r="AE15" s="14" t="str">
        <f t="shared" si="2"/>
        <v>WO</v>
      </c>
      <c r="AF15" s="14" t="s">
        <v>57</v>
      </c>
      <c r="AG15" s="14" t="s">
        <v>57</v>
      </c>
      <c r="AH15" s="14" t="s">
        <v>57</v>
      </c>
      <c r="AI15" s="14" t="s">
        <v>57</v>
      </c>
      <c r="AJ15" s="14" t="s">
        <v>57</v>
      </c>
      <c r="AK15" s="14" t="s">
        <v>57</v>
      </c>
      <c r="AL15" s="14" t="str">
        <f t="shared" si="2"/>
        <v/>
      </c>
      <c r="AM15" s="14" t="str">
        <f t="shared" si="2"/>
        <v/>
      </c>
      <c r="AN15" s="32" t="str">
        <f t="shared" si="2"/>
        <v/>
      </c>
      <c r="AO15" s="39"/>
      <c r="AR15" s="43"/>
      <c r="AS15" s="22">
        <v>8</v>
      </c>
      <c r="AT15" s="14" t="s">
        <v>27</v>
      </c>
      <c r="AU15" s="14" t="str">
        <f t="shared" si="3"/>
        <v>February</v>
      </c>
      <c r="AV15" s="10" t="s">
        <v>11</v>
      </c>
      <c r="AW15" s="22">
        <f t="shared" si="4"/>
        <v>23</v>
      </c>
      <c r="AX15" s="22">
        <f t="shared" si="5"/>
        <v>0</v>
      </c>
      <c r="AY15" s="22">
        <f t="shared" si="6"/>
        <v>1</v>
      </c>
      <c r="AZ15" s="22">
        <f t="shared" si="7"/>
        <v>4</v>
      </c>
      <c r="BA15" s="22">
        <f t="shared" si="8"/>
        <v>28</v>
      </c>
      <c r="BB15" s="22">
        <f>JanMonthlyReport4[[#This Row],[Days]]-JanMonthlyReport4[[#This Row],[Absent]]</f>
        <v>28</v>
      </c>
      <c r="BC15" s="23">
        <v>8000</v>
      </c>
      <c r="BD15" s="23">
        <f>JanMonthlyReport4[[#This Row],[Basic Salary]]/JanMonthlyReport4[[#This Row],[Days]]</f>
        <v>285.71428571428572</v>
      </c>
      <c r="BE15" s="23">
        <f>JanMonthlyReport4[[#This Row],[Per Day Salary]]*JanMonthlyReport4[[#This Row],[Absent]]</f>
        <v>0</v>
      </c>
      <c r="BF15" s="26">
        <f>JanMonthlyReport4[[#This Row],[Basic Salary]]-JanMonthlyReport4[[#This Row],[Deduction]]</f>
        <v>8000</v>
      </c>
      <c r="BG15" s="21"/>
      <c r="BH15" s="43"/>
    </row>
    <row r="16" spans="1:60" x14ac:dyDescent="0.25">
      <c r="A16"/>
      <c r="B16"/>
      <c r="E16" s="39"/>
      <c r="F16" s="24">
        <v>9</v>
      </c>
      <c r="G16" s="14" t="s">
        <v>28</v>
      </c>
      <c r="H16" s="10" t="s">
        <v>10</v>
      </c>
      <c r="I16" s="15">
        <f t="shared" si="9"/>
        <v>4</v>
      </c>
      <c r="J16" s="14" t="str">
        <f t="shared" si="10"/>
        <v>WO</v>
      </c>
      <c r="K16" s="14" t="s">
        <v>57</v>
      </c>
      <c r="L16" s="14" t="s">
        <v>57</v>
      </c>
      <c r="M16" s="14" t="s">
        <v>57</v>
      </c>
      <c r="N16" s="14" t="s">
        <v>57</v>
      </c>
      <c r="O16" s="14" t="s">
        <v>59</v>
      </c>
      <c r="P16" s="14" t="s">
        <v>57</v>
      </c>
      <c r="Q16" s="14" t="str">
        <f t="shared" si="2"/>
        <v>WO</v>
      </c>
      <c r="R16" s="14" t="s">
        <v>57</v>
      </c>
      <c r="S16" s="14" t="s">
        <v>57</v>
      </c>
      <c r="T16" s="14" t="s">
        <v>58</v>
      </c>
      <c r="U16" s="14" t="s">
        <v>57</v>
      </c>
      <c r="V16" s="14" t="s">
        <v>57</v>
      </c>
      <c r="W16" s="14" t="s">
        <v>57</v>
      </c>
      <c r="X16" s="14" t="str">
        <f t="shared" si="2"/>
        <v>WO</v>
      </c>
      <c r="Y16" s="14" t="s">
        <v>57</v>
      </c>
      <c r="Z16" s="14" t="s">
        <v>59</v>
      </c>
      <c r="AA16" s="14" t="s">
        <v>57</v>
      </c>
      <c r="AB16" s="14" t="s">
        <v>59</v>
      </c>
      <c r="AC16" s="14" t="s">
        <v>57</v>
      </c>
      <c r="AD16" s="14" t="s">
        <v>57</v>
      </c>
      <c r="AE16" s="14" t="str">
        <f t="shared" ref="Z16:AN24" si="11">IF(AE$6 = "sun","WO","")</f>
        <v>WO</v>
      </c>
      <c r="AF16" s="14" t="s">
        <v>57</v>
      </c>
      <c r="AG16" s="14" t="s">
        <v>57</v>
      </c>
      <c r="AH16" s="14" t="s">
        <v>57</v>
      </c>
      <c r="AI16" s="14" t="s">
        <v>59</v>
      </c>
      <c r="AJ16" s="14" t="s">
        <v>57</v>
      </c>
      <c r="AK16" s="14" t="s">
        <v>57</v>
      </c>
      <c r="AL16" s="14" t="str">
        <f t="shared" si="11"/>
        <v/>
      </c>
      <c r="AM16" s="14" t="str">
        <f t="shared" si="11"/>
        <v/>
      </c>
      <c r="AN16" s="32" t="str">
        <f t="shared" si="11"/>
        <v/>
      </c>
      <c r="AO16" s="39"/>
      <c r="AR16" s="43"/>
      <c r="AS16" s="22">
        <v>9</v>
      </c>
      <c r="AT16" s="14" t="s">
        <v>28</v>
      </c>
      <c r="AU16" s="14" t="str">
        <f t="shared" si="3"/>
        <v>February</v>
      </c>
      <c r="AV16" s="10" t="s">
        <v>10</v>
      </c>
      <c r="AW16" s="22">
        <f t="shared" si="4"/>
        <v>19</v>
      </c>
      <c r="AX16" s="22">
        <f t="shared" si="5"/>
        <v>4</v>
      </c>
      <c r="AY16" s="22">
        <f t="shared" si="6"/>
        <v>1</v>
      </c>
      <c r="AZ16" s="22">
        <f t="shared" si="7"/>
        <v>4</v>
      </c>
      <c r="BA16" s="22">
        <f t="shared" si="8"/>
        <v>28</v>
      </c>
      <c r="BB16" s="22">
        <f>JanMonthlyReport4[[#This Row],[Days]]-JanMonthlyReport4[[#This Row],[Absent]]</f>
        <v>24</v>
      </c>
      <c r="BC16" s="23">
        <v>10000</v>
      </c>
      <c r="BD16" s="23">
        <f>JanMonthlyReport4[[#This Row],[Basic Salary]]/JanMonthlyReport4[[#This Row],[Days]]</f>
        <v>357.14285714285717</v>
      </c>
      <c r="BE16" s="23">
        <f>JanMonthlyReport4[[#This Row],[Per Day Salary]]*JanMonthlyReport4[[#This Row],[Absent]]</f>
        <v>1428.5714285714287</v>
      </c>
      <c r="BF16" s="26">
        <f>JanMonthlyReport4[[#This Row],[Basic Salary]]-JanMonthlyReport4[[#This Row],[Deduction]]</f>
        <v>8571.4285714285706</v>
      </c>
      <c r="BG16" s="21"/>
      <c r="BH16" s="43"/>
    </row>
    <row r="17" spans="1:60" x14ac:dyDescent="0.25">
      <c r="A17"/>
      <c r="B17"/>
      <c r="E17" s="39"/>
      <c r="F17" s="24">
        <v>10</v>
      </c>
      <c r="G17" s="14" t="s">
        <v>29</v>
      </c>
      <c r="H17" s="10" t="s">
        <v>12</v>
      </c>
      <c r="I17" s="15">
        <f t="shared" si="9"/>
        <v>4</v>
      </c>
      <c r="J17" s="14" t="str">
        <f t="shared" si="10"/>
        <v>WO</v>
      </c>
      <c r="K17" s="14" t="s">
        <v>57</v>
      </c>
      <c r="L17" s="14" t="s">
        <v>57</v>
      </c>
      <c r="M17" s="14" t="s">
        <v>57</v>
      </c>
      <c r="N17" s="14" t="s">
        <v>57</v>
      </c>
      <c r="O17" s="14" t="s">
        <v>57</v>
      </c>
      <c r="P17" s="14" t="s">
        <v>57</v>
      </c>
      <c r="Q17" s="14" t="str">
        <f t="shared" si="10"/>
        <v>WO</v>
      </c>
      <c r="R17" s="14" t="s">
        <v>57</v>
      </c>
      <c r="S17" s="14" t="s">
        <v>57</v>
      </c>
      <c r="T17" s="14" t="s">
        <v>58</v>
      </c>
      <c r="U17" s="14" t="s">
        <v>57</v>
      </c>
      <c r="V17" s="14" t="s">
        <v>57</v>
      </c>
      <c r="W17" s="14" t="s">
        <v>57</v>
      </c>
      <c r="X17" s="14" t="str">
        <f t="shared" si="10"/>
        <v>WO</v>
      </c>
      <c r="Y17" s="14" t="s">
        <v>57</v>
      </c>
      <c r="Z17" s="14" t="s">
        <v>57</v>
      </c>
      <c r="AA17" s="14" t="s">
        <v>57</v>
      </c>
      <c r="AB17" s="14" t="s">
        <v>57</v>
      </c>
      <c r="AC17" s="14" t="s">
        <v>57</v>
      </c>
      <c r="AD17" s="14" t="s">
        <v>57</v>
      </c>
      <c r="AE17" s="14" t="str">
        <f t="shared" si="11"/>
        <v>WO</v>
      </c>
      <c r="AF17" s="14" t="s">
        <v>57</v>
      </c>
      <c r="AG17" s="14" t="s">
        <v>57</v>
      </c>
      <c r="AH17" s="14" t="s">
        <v>57</v>
      </c>
      <c r="AI17" s="14" t="s">
        <v>57</v>
      </c>
      <c r="AJ17" s="14" t="s">
        <v>57</v>
      </c>
      <c r="AK17" s="14" t="s">
        <v>57</v>
      </c>
      <c r="AL17" s="14" t="str">
        <f t="shared" si="11"/>
        <v/>
      </c>
      <c r="AM17" s="14" t="str">
        <f t="shared" si="11"/>
        <v/>
      </c>
      <c r="AN17" s="32" t="str">
        <f t="shared" si="11"/>
        <v/>
      </c>
      <c r="AO17" s="39"/>
      <c r="AR17" s="43"/>
      <c r="AS17" s="22">
        <v>10</v>
      </c>
      <c r="AT17" s="14" t="s">
        <v>29</v>
      </c>
      <c r="AU17" s="14" t="str">
        <f t="shared" si="3"/>
        <v>February</v>
      </c>
      <c r="AV17" s="10" t="s">
        <v>12</v>
      </c>
      <c r="AW17" s="22">
        <f t="shared" si="4"/>
        <v>23</v>
      </c>
      <c r="AX17" s="22">
        <f t="shared" si="5"/>
        <v>0</v>
      </c>
      <c r="AY17" s="22">
        <f t="shared" si="6"/>
        <v>1</v>
      </c>
      <c r="AZ17" s="22">
        <f t="shared" si="7"/>
        <v>4</v>
      </c>
      <c r="BA17" s="22">
        <f t="shared" si="8"/>
        <v>28</v>
      </c>
      <c r="BB17" s="22">
        <f>JanMonthlyReport4[[#This Row],[Days]]-JanMonthlyReport4[[#This Row],[Absent]]</f>
        <v>28</v>
      </c>
      <c r="BC17" s="23">
        <v>13000</v>
      </c>
      <c r="BD17" s="23">
        <f>JanMonthlyReport4[[#This Row],[Basic Salary]]/JanMonthlyReport4[[#This Row],[Days]]</f>
        <v>464.28571428571428</v>
      </c>
      <c r="BE17" s="23">
        <f>JanMonthlyReport4[[#This Row],[Per Day Salary]]*JanMonthlyReport4[[#This Row],[Absent]]</f>
        <v>0</v>
      </c>
      <c r="BF17" s="26">
        <f>JanMonthlyReport4[[#This Row],[Basic Salary]]-JanMonthlyReport4[[#This Row],[Deduction]]</f>
        <v>13000</v>
      </c>
      <c r="BG17" s="21"/>
      <c r="BH17" s="43"/>
    </row>
    <row r="18" spans="1:60" x14ac:dyDescent="0.25">
      <c r="A18"/>
      <c r="B18"/>
      <c r="E18" s="39"/>
      <c r="F18" s="24">
        <v>11</v>
      </c>
      <c r="G18" s="14" t="s">
        <v>30</v>
      </c>
      <c r="H18" s="10" t="s">
        <v>13</v>
      </c>
      <c r="I18" s="15">
        <f t="shared" si="9"/>
        <v>4</v>
      </c>
      <c r="J18" s="14" t="str">
        <f t="shared" si="10"/>
        <v>WO</v>
      </c>
      <c r="K18" s="14" t="s">
        <v>57</v>
      </c>
      <c r="L18" s="14" t="s">
        <v>59</v>
      </c>
      <c r="M18" s="14" t="s">
        <v>57</v>
      </c>
      <c r="N18" s="14" t="s">
        <v>57</v>
      </c>
      <c r="O18" s="14" t="s">
        <v>57</v>
      </c>
      <c r="P18" s="14" t="s">
        <v>57</v>
      </c>
      <c r="Q18" s="14" t="str">
        <f t="shared" si="10"/>
        <v>WO</v>
      </c>
      <c r="R18" s="14" t="s">
        <v>57</v>
      </c>
      <c r="S18" s="14" t="s">
        <v>57</v>
      </c>
      <c r="T18" s="14" t="s">
        <v>58</v>
      </c>
      <c r="U18" s="14" t="s">
        <v>57</v>
      </c>
      <c r="V18" s="14" t="s">
        <v>59</v>
      </c>
      <c r="W18" s="14" t="s">
        <v>57</v>
      </c>
      <c r="X18" s="14" t="str">
        <f t="shared" si="10"/>
        <v>WO</v>
      </c>
      <c r="Y18" s="14" t="s">
        <v>57</v>
      </c>
      <c r="Z18" s="14" t="s">
        <v>57</v>
      </c>
      <c r="AA18" s="14" t="s">
        <v>57</v>
      </c>
      <c r="AB18" s="14" t="s">
        <v>57</v>
      </c>
      <c r="AC18" s="14" t="s">
        <v>57</v>
      </c>
      <c r="AD18" s="14" t="s">
        <v>57</v>
      </c>
      <c r="AE18" s="14" t="str">
        <f t="shared" si="11"/>
        <v>WO</v>
      </c>
      <c r="AF18" s="14" t="s">
        <v>57</v>
      </c>
      <c r="AG18" s="14" t="s">
        <v>57</v>
      </c>
      <c r="AH18" s="14" t="s">
        <v>57</v>
      </c>
      <c r="AI18" s="14" t="s">
        <v>57</v>
      </c>
      <c r="AJ18" s="14" t="s">
        <v>57</v>
      </c>
      <c r="AK18" s="14" t="s">
        <v>57</v>
      </c>
      <c r="AL18" s="14" t="str">
        <f t="shared" si="11"/>
        <v/>
      </c>
      <c r="AM18" s="14" t="str">
        <f t="shared" si="11"/>
        <v/>
      </c>
      <c r="AN18" s="32" t="str">
        <f t="shared" si="11"/>
        <v/>
      </c>
      <c r="AO18" s="39"/>
      <c r="AR18" s="43"/>
      <c r="AS18" s="22">
        <v>11</v>
      </c>
      <c r="AT18" s="14" t="s">
        <v>30</v>
      </c>
      <c r="AU18" s="14" t="str">
        <f t="shared" si="3"/>
        <v>February</v>
      </c>
      <c r="AV18" s="10" t="s">
        <v>13</v>
      </c>
      <c r="AW18" s="22">
        <f t="shared" si="4"/>
        <v>21</v>
      </c>
      <c r="AX18" s="22">
        <f t="shared" si="5"/>
        <v>2</v>
      </c>
      <c r="AY18" s="22">
        <f t="shared" si="6"/>
        <v>1</v>
      </c>
      <c r="AZ18" s="22">
        <f t="shared" si="7"/>
        <v>4</v>
      </c>
      <c r="BA18" s="22">
        <f t="shared" si="8"/>
        <v>28</v>
      </c>
      <c r="BB18" s="22">
        <f>JanMonthlyReport4[[#This Row],[Days]]-JanMonthlyReport4[[#This Row],[Absent]]</f>
        <v>26</v>
      </c>
      <c r="BC18" s="23">
        <v>10000</v>
      </c>
      <c r="BD18" s="23">
        <f>JanMonthlyReport4[[#This Row],[Basic Salary]]/JanMonthlyReport4[[#This Row],[Days]]</f>
        <v>357.14285714285717</v>
      </c>
      <c r="BE18" s="23">
        <f>JanMonthlyReport4[[#This Row],[Per Day Salary]]*JanMonthlyReport4[[#This Row],[Absent]]</f>
        <v>714.28571428571433</v>
      </c>
      <c r="BF18" s="26">
        <f>JanMonthlyReport4[[#This Row],[Basic Salary]]-JanMonthlyReport4[[#This Row],[Deduction]]</f>
        <v>9285.7142857142862</v>
      </c>
      <c r="BG18" s="21"/>
      <c r="BH18" s="43"/>
    </row>
    <row r="19" spans="1:60" x14ac:dyDescent="0.25">
      <c r="A19"/>
      <c r="B19"/>
      <c r="E19" s="39"/>
      <c r="F19" s="24">
        <v>12</v>
      </c>
      <c r="G19" s="14" t="s">
        <v>31</v>
      </c>
      <c r="H19" s="10" t="s">
        <v>14</v>
      </c>
      <c r="I19" s="15">
        <f t="shared" si="9"/>
        <v>4</v>
      </c>
      <c r="J19" s="14" t="str">
        <f t="shared" si="10"/>
        <v>WO</v>
      </c>
      <c r="K19" s="14" t="s">
        <v>57</v>
      </c>
      <c r="L19" s="14" t="s">
        <v>57</v>
      </c>
      <c r="M19" s="14" t="s">
        <v>57</v>
      </c>
      <c r="N19" s="14" t="s">
        <v>57</v>
      </c>
      <c r="O19" s="14" t="s">
        <v>57</v>
      </c>
      <c r="P19" s="14" t="s">
        <v>57</v>
      </c>
      <c r="Q19" s="14" t="str">
        <f t="shared" si="10"/>
        <v>WO</v>
      </c>
      <c r="R19" s="14" t="s">
        <v>57</v>
      </c>
      <c r="S19" s="14" t="s">
        <v>57</v>
      </c>
      <c r="T19" s="14" t="s">
        <v>58</v>
      </c>
      <c r="U19" s="14" t="s">
        <v>57</v>
      </c>
      <c r="V19" s="14" t="s">
        <v>57</v>
      </c>
      <c r="W19" s="14" t="s">
        <v>57</v>
      </c>
      <c r="X19" s="14" t="str">
        <f t="shared" si="10"/>
        <v>WO</v>
      </c>
      <c r="Y19" s="14" t="s">
        <v>57</v>
      </c>
      <c r="Z19" s="14" t="s">
        <v>59</v>
      </c>
      <c r="AA19" s="14" t="s">
        <v>57</v>
      </c>
      <c r="AB19" s="14" t="s">
        <v>57</v>
      </c>
      <c r="AC19" s="14" t="s">
        <v>57</v>
      </c>
      <c r="AD19" s="14" t="s">
        <v>57</v>
      </c>
      <c r="AE19" s="14" t="str">
        <f t="shared" si="11"/>
        <v>WO</v>
      </c>
      <c r="AF19" s="14" t="s">
        <v>57</v>
      </c>
      <c r="AG19" s="14" t="s">
        <v>57</v>
      </c>
      <c r="AH19" s="14" t="s">
        <v>57</v>
      </c>
      <c r="AI19" s="14" t="s">
        <v>57</v>
      </c>
      <c r="AJ19" s="14" t="s">
        <v>57</v>
      </c>
      <c r="AK19" s="14" t="s">
        <v>57</v>
      </c>
      <c r="AL19" s="14" t="str">
        <f t="shared" si="11"/>
        <v/>
      </c>
      <c r="AM19" s="14" t="str">
        <f t="shared" si="11"/>
        <v/>
      </c>
      <c r="AN19" s="32" t="str">
        <f t="shared" si="11"/>
        <v/>
      </c>
      <c r="AO19" s="39"/>
      <c r="AR19" s="43"/>
      <c r="AS19" s="22">
        <v>12</v>
      </c>
      <c r="AT19" s="14" t="s">
        <v>31</v>
      </c>
      <c r="AU19" s="14" t="str">
        <f t="shared" si="3"/>
        <v>February</v>
      </c>
      <c r="AV19" s="10" t="s">
        <v>14</v>
      </c>
      <c r="AW19" s="22">
        <f t="shared" si="4"/>
        <v>22</v>
      </c>
      <c r="AX19" s="22">
        <f t="shared" si="5"/>
        <v>1</v>
      </c>
      <c r="AY19" s="22">
        <f t="shared" si="6"/>
        <v>1</v>
      </c>
      <c r="AZ19" s="22">
        <f t="shared" si="7"/>
        <v>4</v>
      </c>
      <c r="BA19" s="22">
        <f t="shared" si="8"/>
        <v>28</v>
      </c>
      <c r="BB19" s="22">
        <f>JanMonthlyReport4[[#This Row],[Days]]-JanMonthlyReport4[[#This Row],[Absent]]</f>
        <v>27</v>
      </c>
      <c r="BC19" s="23">
        <v>9000</v>
      </c>
      <c r="BD19" s="23">
        <f>JanMonthlyReport4[[#This Row],[Basic Salary]]/JanMonthlyReport4[[#This Row],[Days]]</f>
        <v>321.42857142857144</v>
      </c>
      <c r="BE19" s="23">
        <f>JanMonthlyReport4[[#This Row],[Per Day Salary]]*JanMonthlyReport4[[#This Row],[Absent]]</f>
        <v>321.42857142857144</v>
      </c>
      <c r="BF19" s="26">
        <f>JanMonthlyReport4[[#This Row],[Basic Salary]]-JanMonthlyReport4[[#This Row],[Deduction]]</f>
        <v>8678.5714285714294</v>
      </c>
      <c r="BG19" s="21"/>
      <c r="BH19" s="43"/>
    </row>
    <row r="20" spans="1:60" x14ac:dyDescent="0.25">
      <c r="A20"/>
      <c r="B20"/>
      <c r="E20" s="39"/>
      <c r="F20" s="24">
        <v>13</v>
      </c>
      <c r="G20" s="14" t="s">
        <v>32</v>
      </c>
      <c r="H20" s="10" t="s">
        <v>15</v>
      </c>
      <c r="I20" s="15">
        <f t="shared" si="9"/>
        <v>4</v>
      </c>
      <c r="J20" s="14" t="str">
        <f t="shared" si="10"/>
        <v>WO</v>
      </c>
      <c r="K20" s="14" t="s">
        <v>57</v>
      </c>
      <c r="L20" s="14" t="s">
        <v>57</v>
      </c>
      <c r="M20" s="14" t="s">
        <v>57</v>
      </c>
      <c r="N20" s="14" t="s">
        <v>57</v>
      </c>
      <c r="O20" s="14" t="s">
        <v>57</v>
      </c>
      <c r="P20" s="14" t="s">
        <v>57</v>
      </c>
      <c r="Q20" s="14" t="str">
        <f t="shared" si="10"/>
        <v>WO</v>
      </c>
      <c r="R20" s="14" t="s">
        <v>57</v>
      </c>
      <c r="S20" s="14" t="s">
        <v>57</v>
      </c>
      <c r="T20" s="14" t="s">
        <v>58</v>
      </c>
      <c r="U20" s="14" t="s">
        <v>57</v>
      </c>
      <c r="V20" s="14" t="s">
        <v>57</v>
      </c>
      <c r="W20" s="14" t="s">
        <v>57</v>
      </c>
      <c r="X20" s="14" t="str">
        <f t="shared" si="10"/>
        <v>WO</v>
      </c>
      <c r="Y20" s="14" t="s">
        <v>57</v>
      </c>
      <c r="Z20" s="14" t="s">
        <v>57</v>
      </c>
      <c r="AA20" s="14" t="s">
        <v>57</v>
      </c>
      <c r="AB20" s="14" t="s">
        <v>57</v>
      </c>
      <c r="AC20" s="14" t="s">
        <v>57</v>
      </c>
      <c r="AD20" s="14" t="s">
        <v>57</v>
      </c>
      <c r="AE20" s="14" t="str">
        <f t="shared" si="11"/>
        <v>WO</v>
      </c>
      <c r="AF20" s="14" t="s">
        <v>57</v>
      </c>
      <c r="AG20" s="14" t="s">
        <v>57</v>
      </c>
      <c r="AH20" s="14" t="s">
        <v>57</v>
      </c>
      <c r="AI20" s="14" t="s">
        <v>57</v>
      </c>
      <c r="AJ20" s="14" t="s">
        <v>57</v>
      </c>
      <c r="AK20" s="14" t="s">
        <v>57</v>
      </c>
      <c r="AL20" s="14" t="str">
        <f t="shared" si="11"/>
        <v/>
      </c>
      <c r="AM20" s="14" t="str">
        <f t="shared" si="11"/>
        <v/>
      </c>
      <c r="AN20" s="32" t="str">
        <f t="shared" si="11"/>
        <v/>
      </c>
      <c r="AO20" s="39"/>
      <c r="AR20" s="43"/>
      <c r="AS20" s="22">
        <v>13</v>
      </c>
      <c r="AT20" s="14" t="s">
        <v>32</v>
      </c>
      <c r="AU20" s="14" t="str">
        <f t="shared" si="3"/>
        <v>February</v>
      </c>
      <c r="AV20" s="10" t="s">
        <v>15</v>
      </c>
      <c r="AW20" s="22">
        <f t="shared" si="4"/>
        <v>23</v>
      </c>
      <c r="AX20" s="22">
        <f t="shared" si="5"/>
        <v>0</v>
      </c>
      <c r="AY20" s="22">
        <f t="shared" si="6"/>
        <v>1</v>
      </c>
      <c r="AZ20" s="22">
        <f t="shared" si="7"/>
        <v>4</v>
      </c>
      <c r="BA20" s="22">
        <f t="shared" si="8"/>
        <v>28</v>
      </c>
      <c r="BB20" s="22">
        <f>JanMonthlyReport4[[#This Row],[Days]]-JanMonthlyReport4[[#This Row],[Absent]]</f>
        <v>28</v>
      </c>
      <c r="BC20" s="23">
        <v>10000</v>
      </c>
      <c r="BD20" s="23">
        <f>JanMonthlyReport4[[#This Row],[Basic Salary]]/JanMonthlyReport4[[#This Row],[Days]]</f>
        <v>357.14285714285717</v>
      </c>
      <c r="BE20" s="23">
        <f>JanMonthlyReport4[[#This Row],[Per Day Salary]]*JanMonthlyReport4[[#This Row],[Absent]]</f>
        <v>0</v>
      </c>
      <c r="BF20" s="26">
        <f>JanMonthlyReport4[[#This Row],[Basic Salary]]-JanMonthlyReport4[[#This Row],[Deduction]]</f>
        <v>10000</v>
      </c>
      <c r="BG20" s="21"/>
      <c r="BH20" s="43"/>
    </row>
    <row r="21" spans="1:60" x14ac:dyDescent="0.25">
      <c r="A21"/>
      <c r="B21"/>
      <c r="E21" s="39"/>
      <c r="F21" s="24">
        <v>14</v>
      </c>
      <c r="G21" s="14" t="s">
        <v>33</v>
      </c>
      <c r="H21" s="10" t="s">
        <v>16</v>
      </c>
      <c r="I21" s="15">
        <f t="shared" si="9"/>
        <v>4</v>
      </c>
      <c r="J21" s="14" t="str">
        <f t="shared" si="10"/>
        <v>WO</v>
      </c>
      <c r="K21" s="14" t="s">
        <v>57</v>
      </c>
      <c r="L21" s="14" t="s">
        <v>57</v>
      </c>
      <c r="M21" s="14" t="s">
        <v>57</v>
      </c>
      <c r="N21" s="14" t="s">
        <v>57</v>
      </c>
      <c r="O21" s="14" t="s">
        <v>59</v>
      </c>
      <c r="P21" s="14" t="s">
        <v>57</v>
      </c>
      <c r="Q21" s="14" t="str">
        <f t="shared" si="10"/>
        <v>WO</v>
      </c>
      <c r="R21" s="14" t="s">
        <v>57</v>
      </c>
      <c r="S21" s="14" t="s">
        <v>57</v>
      </c>
      <c r="T21" s="14" t="s">
        <v>58</v>
      </c>
      <c r="U21" s="14" t="s">
        <v>57</v>
      </c>
      <c r="V21" s="14" t="s">
        <v>57</v>
      </c>
      <c r="W21" s="14" t="s">
        <v>57</v>
      </c>
      <c r="X21" s="14" t="str">
        <f t="shared" si="10"/>
        <v>WO</v>
      </c>
      <c r="Y21" s="14" t="s">
        <v>57</v>
      </c>
      <c r="Z21" s="14" t="s">
        <v>57</v>
      </c>
      <c r="AA21" s="14" t="s">
        <v>57</v>
      </c>
      <c r="AB21" s="14" t="s">
        <v>57</v>
      </c>
      <c r="AC21" s="14" t="s">
        <v>57</v>
      </c>
      <c r="AD21" s="14" t="s">
        <v>57</v>
      </c>
      <c r="AE21" s="14" t="str">
        <f t="shared" si="11"/>
        <v>WO</v>
      </c>
      <c r="AF21" s="14" t="s">
        <v>57</v>
      </c>
      <c r="AG21" s="14" t="s">
        <v>57</v>
      </c>
      <c r="AH21" s="14" t="s">
        <v>57</v>
      </c>
      <c r="AI21" s="14" t="s">
        <v>57</v>
      </c>
      <c r="AJ21" s="14" t="s">
        <v>57</v>
      </c>
      <c r="AK21" s="14" t="s">
        <v>57</v>
      </c>
      <c r="AL21" s="14" t="str">
        <f t="shared" si="11"/>
        <v/>
      </c>
      <c r="AM21" s="14" t="str">
        <f t="shared" si="11"/>
        <v/>
      </c>
      <c r="AN21" s="32" t="str">
        <f t="shared" si="11"/>
        <v/>
      </c>
      <c r="AO21" s="39"/>
      <c r="AR21" s="43"/>
      <c r="AS21" s="22">
        <v>14</v>
      </c>
      <c r="AT21" s="14" t="s">
        <v>33</v>
      </c>
      <c r="AU21" s="14" t="str">
        <f t="shared" si="3"/>
        <v>February</v>
      </c>
      <c r="AV21" s="10" t="s">
        <v>16</v>
      </c>
      <c r="AW21" s="22">
        <f t="shared" si="4"/>
        <v>22</v>
      </c>
      <c r="AX21" s="22">
        <f t="shared" si="5"/>
        <v>1</v>
      </c>
      <c r="AY21" s="22">
        <f t="shared" si="6"/>
        <v>1</v>
      </c>
      <c r="AZ21" s="22">
        <f t="shared" si="7"/>
        <v>4</v>
      </c>
      <c r="BA21" s="22">
        <f t="shared" si="8"/>
        <v>28</v>
      </c>
      <c r="BB21" s="22">
        <f>JanMonthlyReport4[[#This Row],[Days]]-JanMonthlyReport4[[#This Row],[Absent]]</f>
        <v>27</v>
      </c>
      <c r="BC21" s="23">
        <v>10000</v>
      </c>
      <c r="BD21" s="23">
        <f>JanMonthlyReport4[[#This Row],[Basic Salary]]/JanMonthlyReport4[[#This Row],[Days]]</f>
        <v>357.14285714285717</v>
      </c>
      <c r="BE21" s="23">
        <f>JanMonthlyReport4[[#This Row],[Per Day Salary]]*JanMonthlyReport4[[#This Row],[Absent]]</f>
        <v>357.14285714285717</v>
      </c>
      <c r="BF21" s="26">
        <f>JanMonthlyReport4[[#This Row],[Basic Salary]]-JanMonthlyReport4[[#This Row],[Deduction]]</f>
        <v>9642.8571428571431</v>
      </c>
      <c r="BG21" s="21"/>
      <c r="BH21" s="43"/>
    </row>
    <row r="22" spans="1:60" x14ac:dyDescent="0.25">
      <c r="A22"/>
      <c r="B22"/>
      <c r="E22" s="39"/>
      <c r="F22" s="24">
        <v>15</v>
      </c>
      <c r="G22" s="14" t="s">
        <v>34</v>
      </c>
      <c r="H22" s="10" t="s">
        <v>17</v>
      </c>
      <c r="I22" s="15">
        <f t="shared" si="9"/>
        <v>4</v>
      </c>
      <c r="J22" s="14" t="str">
        <f t="shared" si="10"/>
        <v>WO</v>
      </c>
      <c r="K22" s="14" t="s">
        <v>57</v>
      </c>
      <c r="L22" s="14" t="s">
        <v>57</v>
      </c>
      <c r="M22" s="14" t="s">
        <v>57</v>
      </c>
      <c r="N22" s="14" t="s">
        <v>57</v>
      </c>
      <c r="O22" s="14" t="s">
        <v>57</v>
      </c>
      <c r="P22" s="14" t="s">
        <v>57</v>
      </c>
      <c r="Q22" s="14" t="str">
        <f t="shared" si="10"/>
        <v>WO</v>
      </c>
      <c r="R22" s="14" t="s">
        <v>57</v>
      </c>
      <c r="S22" s="14" t="s">
        <v>57</v>
      </c>
      <c r="T22" s="14" t="s">
        <v>58</v>
      </c>
      <c r="U22" s="14" t="s">
        <v>57</v>
      </c>
      <c r="V22" s="14" t="s">
        <v>57</v>
      </c>
      <c r="W22" s="14" t="s">
        <v>57</v>
      </c>
      <c r="X22" s="14" t="str">
        <f t="shared" si="10"/>
        <v>WO</v>
      </c>
      <c r="Y22" s="14" t="s">
        <v>57</v>
      </c>
      <c r="Z22" s="14" t="s">
        <v>57</v>
      </c>
      <c r="AA22" s="14" t="s">
        <v>57</v>
      </c>
      <c r="AB22" s="14" t="s">
        <v>57</v>
      </c>
      <c r="AC22" s="14" t="s">
        <v>57</v>
      </c>
      <c r="AD22" s="14" t="s">
        <v>57</v>
      </c>
      <c r="AE22" s="14" t="str">
        <f t="shared" si="11"/>
        <v>WO</v>
      </c>
      <c r="AF22" s="14" t="s">
        <v>57</v>
      </c>
      <c r="AG22" s="14" t="s">
        <v>57</v>
      </c>
      <c r="AH22" s="14" t="s">
        <v>57</v>
      </c>
      <c r="AI22" s="14" t="s">
        <v>57</v>
      </c>
      <c r="AJ22" s="14" t="s">
        <v>57</v>
      </c>
      <c r="AK22" s="14" t="s">
        <v>57</v>
      </c>
      <c r="AL22" s="14" t="str">
        <f t="shared" si="11"/>
        <v/>
      </c>
      <c r="AM22" s="14" t="str">
        <f t="shared" si="11"/>
        <v/>
      </c>
      <c r="AN22" s="32" t="str">
        <f t="shared" si="11"/>
        <v/>
      </c>
      <c r="AO22" s="39"/>
      <c r="AR22" s="43"/>
      <c r="AS22" s="22">
        <v>15</v>
      </c>
      <c r="AT22" s="14" t="s">
        <v>34</v>
      </c>
      <c r="AU22" s="14" t="str">
        <f t="shared" si="3"/>
        <v>February</v>
      </c>
      <c r="AV22" s="10" t="s">
        <v>17</v>
      </c>
      <c r="AW22" s="22">
        <f t="shared" si="4"/>
        <v>23</v>
      </c>
      <c r="AX22" s="22">
        <f t="shared" si="5"/>
        <v>0</v>
      </c>
      <c r="AY22" s="22">
        <f t="shared" si="6"/>
        <v>1</v>
      </c>
      <c r="AZ22" s="22">
        <f t="shared" si="7"/>
        <v>4</v>
      </c>
      <c r="BA22" s="22">
        <f t="shared" si="8"/>
        <v>28</v>
      </c>
      <c r="BB22" s="22">
        <f>JanMonthlyReport4[[#This Row],[Days]]-JanMonthlyReport4[[#This Row],[Absent]]</f>
        <v>28</v>
      </c>
      <c r="BC22" s="23">
        <v>10000</v>
      </c>
      <c r="BD22" s="23">
        <f>JanMonthlyReport4[[#This Row],[Basic Salary]]/JanMonthlyReport4[[#This Row],[Days]]</f>
        <v>357.14285714285717</v>
      </c>
      <c r="BE22" s="23">
        <f>JanMonthlyReport4[[#This Row],[Per Day Salary]]*JanMonthlyReport4[[#This Row],[Absent]]</f>
        <v>0</v>
      </c>
      <c r="BF22" s="26">
        <f>JanMonthlyReport4[[#This Row],[Basic Salary]]-JanMonthlyReport4[[#This Row],[Deduction]]</f>
        <v>10000</v>
      </c>
      <c r="BG22" s="21"/>
      <c r="BH22" s="43"/>
    </row>
    <row r="23" spans="1:60" x14ac:dyDescent="0.25">
      <c r="A23"/>
      <c r="B23"/>
      <c r="E23" s="39"/>
      <c r="F23" s="24">
        <v>16</v>
      </c>
      <c r="G23" s="14" t="s">
        <v>35</v>
      </c>
      <c r="H23" s="10" t="s">
        <v>18</v>
      </c>
      <c r="I23" s="15">
        <f t="shared" si="9"/>
        <v>4</v>
      </c>
      <c r="J23" s="14" t="str">
        <f t="shared" si="10"/>
        <v>WO</v>
      </c>
      <c r="K23" s="14" t="s">
        <v>57</v>
      </c>
      <c r="L23" s="14" t="s">
        <v>57</v>
      </c>
      <c r="M23" s="14" t="s">
        <v>57</v>
      </c>
      <c r="N23" s="14" t="s">
        <v>57</v>
      </c>
      <c r="O23" s="14" t="s">
        <v>57</v>
      </c>
      <c r="P23" s="14" t="s">
        <v>57</v>
      </c>
      <c r="Q23" s="14" t="str">
        <f t="shared" si="10"/>
        <v>WO</v>
      </c>
      <c r="R23" s="14" t="s">
        <v>57</v>
      </c>
      <c r="S23" s="14" t="s">
        <v>59</v>
      </c>
      <c r="T23" s="14" t="s">
        <v>58</v>
      </c>
      <c r="U23" s="14" t="s">
        <v>57</v>
      </c>
      <c r="V23" s="14" t="s">
        <v>57</v>
      </c>
      <c r="W23" s="14" t="s">
        <v>57</v>
      </c>
      <c r="X23" s="14" t="str">
        <f t="shared" si="10"/>
        <v>WO</v>
      </c>
      <c r="Y23" s="14" t="s">
        <v>57</v>
      </c>
      <c r="Z23" s="14" t="s">
        <v>57</v>
      </c>
      <c r="AA23" s="14" t="s">
        <v>57</v>
      </c>
      <c r="AB23" s="14" t="s">
        <v>57</v>
      </c>
      <c r="AC23" s="14" t="s">
        <v>57</v>
      </c>
      <c r="AD23" s="14" t="s">
        <v>57</v>
      </c>
      <c r="AE23" s="14" t="str">
        <f t="shared" si="11"/>
        <v>WO</v>
      </c>
      <c r="AF23" s="14" t="s">
        <v>57</v>
      </c>
      <c r="AG23" s="14" t="s">
        <v>57</v>
      </c>
      <c r="AH23" s="14" t="s">
        <v>57</v>
      </c>
      <c r="AI23" s="14" t="s">
        <v>57</v>
      </c>
      <c r="AJ23" s="14" t="s">
        <v>57</v>
      </c>
      <c r="AK23" s="14" t="s">
        <v>57</v>
      </c>
      <c r="AL23" s="14" t="str">
        <f t="shared" si="11"/>
        <v/>
      </c>
      <c r="AM23" s="14" t="str">
        <f t="shared" si="11"/>
        <v/>
      </c>
      <c r="AN23" s="32" t="str">
        <f t="shared" si="11"/>
        <v/>
      </c>
      <c r="AO23" s="39"/>
      <c r="AR23" s="43"/>
      <c r="AS23" s="22">
        <v>16</v>
      </c>
      <c r="AT23" s="14" t="s">
        <v>35</v>
      </c>
      <c r="AU23" s="14" t="str">
        <f t="shared" si="3"/>
        <v>February</v>
      </c>
      <c r="AV23" s="10" t="s">
        <v>18</v>
      </c>
      <c r="AW23" s="22">
        <f t="shared" si="4"/>
        <v>22</v>
      </c>
      <c r="AX23" s="22">
        <f t="shared" si="5"/>
        <v>1</v>
      </c>
      <c r="AY23" s="22">
        <f t="shared" si="6"/>
        <v>1</v>
      </c>
      <c r="AZ23" s="22">
        <f t="shared" si="7"/>
        <v>4</v>
      </c>
      <c r="BA23" s="22">
        <f t="shared" si="8"/>
        <v>28</v>
      </c>
      <c r="BB23" s="22">
        <f>JanMonthlyReport4[[#This Row],[Days]]-JanMonthlyReport4[[#This Row],[Absent]]</f>
        <v>27</v>
      </c>
      <c r="BC23" s="23">
        <v>10000</v>
      </c>
      <c r="BD23" s="23">
        <f>JanMonthlyReport4[[#This Row],[Basic Salary]]/JanMonthlyReport4[[#This Row],[Days]]</f>
        <v>357.14285714285717</v>
      </c>
      <c r="BE23" s="23">
        <f>JanMonthlyReport4[[#This Row],[Per Day Salary]]*JanMonthlyReport4[[#This Row],[Absent]]</f>
        <v>357.14285714285717</v>
      </c>
      <c r="BF23" s="26">
        <f>JanMonthlyReport4[[#This Row],[Basic Salary]]-JanMonthlyReport4[[#This Row],[Deduction]]</f>
        <v>9642.8571428571431</v>
      </c>
      <c r="BG23" s="21"/>
      <c r="BH23" s="43"/>
    </row>
    <row r="24" spans="1:60" ht="15.75" thickBot="1" x14ac:dyDescent="0.3">
      <c r="A24"/>
      <c r="B24"/>
      <c r="E24" s="39"/>
      <c r="F24" s="25">
        <v>17</v>
      </c>
      <c r="G24" s="33" t="s">
        <v>36</v>
      </c>
      <c r="H24" s="34" t="s">
        <v>19</v>
      </c>
      <c r="I24" s="35">
        <f t="shared" si="9"/>
        <v>4</v>
      </c>
      <c r="J24" s="33" t="str">
        <f t="shared" si="10"/>
        <v>WO</v>
      </c>
      <c r="K24" s="33" t="s">
        <v>57</v>
      </c>
      <c r="L24" s="33" t="s">
        <v>57</v>
      </c>
      <c r="M24" s="33" t="s">
        <v>57</v>
      </c>
      <c r="N24" s="33" t="s">
        <v>57</v>
      </c>
      <c r="O24" s="33" t="s">
        <v>57</v>
      </c>
      <c r="P24" s="33" t="s">
        <v>57</v>
      </c>
      <c r="Q24" s="33" t="str">
        <f t="shared" si="10"/>
        <v>WO</v>
      </c>
      <c r="R24" s="33" t="s">
        <v>57</v>
      </c>
      <c r="S24" s="33" t="s">
        <v>57</v>
      </c>
      <c r="T24" s="33" t="s">
        <v>58</v>
      </c>
      <c r="U24" s="33" t="s">
        <v>57</v>
      </c>
      <c r="V24" s="33" t="s">
        <v>57</v>
      </c>
      <c r="W24" s="33" t="s">
        <v>57</v>
      </c>
      <c r="X24" s="33" t="str">
        <f t="shared" si="10"/>
        <v>WO</v>
      </c>
      <c r="Y24" s="33" t="s">
        <v>57</v>
      </c>
      <c r="Z24" s="33" t="s">
        <v>57</v>
      </c>
      <c r="AA24" s="33" t="s">
        <v>57</v>
      </c>
      <c r="AB24" s="33" t="s">
        <v>57</v>
      </c>
      <c r="AC24" s="33" t="s">
        <v>57</v>
      </c>
      <c r="AD24" s="33" t="s">
        <v>57</v>
      </c>
      <c r="AE24" s="33" t="str">
        <f t="shared" si="11"/>
        <v>WO</v>
      </c>
      <c r="AF24" s="33" t="s">
        <v>57</v>
      </c>
      <c r="AG24" s="33" t="s">
        <v>57</v>
      </c>
      <c r="AH24" s="33" t="s">
        <v>57</v>
      </c>
      <c r="AI24" s="33" t="s">
        <v>57</v>
      </c>
      <c r="AJ24" s="33" t="s">
        <v>57</v>
      </c>
      <c r="AK24" s="33" t="s">
        <v>57</v>
      </c>
      <c r="AL24" s="33" t="str">
        <f t="shared" si="11"/>
        <v/>
      </c>
      <c r="AM24" s="33" t="str">
        <f t="shared" si="11"/>
        <v/>
      </c>
      <c r="AN24" s="36" t="str">
        <f t="shared" si="11"/>
        <v/>
      </c>
      <c r="AO24" s="39"/>
      <c r="AR24" s="43"/>
      <c r="AS24" s="22">
        <v>17</v>
      </c>
      <c r="AT24" s="14" t="s">
        <v>36</v>
      </c>
      <c r="AU24" s="14" t="str">
        <f t="shared" si="3"/>
        <v>February</v>
      </c>
      <c r="AV24" s="10" t="s">
        <v>19</v>
      </c>
      <c r="AW24" s="22">
        <f t="shared" si="4"/>
        <v>23</v>
      </c>
      <c r="AX24" s="22">
        <f t="shared" si="5"/>
        <v>0</v>
      </c>
      <c r="AY24" s="22">
        <f t="shared" si="6"/>
        <v>1</v>
      </c>
      <c r="AZ24" s="22">
        <f t="shared" si="7"/>
        <v>4</v>
      </c>
      <c r="BA24" s="22">
        <f t="shared" si="8"/>
        <v>28</v>
      </c>
      <c r="BB24" s="22">
        <f>JanMonthlyReport4[[#This Row],[Days]]-JanMonthlyReport4[[#This Row],[Absent]]</f>
        <v>28</v>
      </c>
      <c r="BC24" s="23">
        <v>9000</v>
      </c>
      <c r="BD24" s="23">
        <f>JanMonthlyReport4[[#This Row],[Basic Salary]]/JanMonthlyReport4[[#This Row],[Days]]</f>
        <v>321.42857142857144</v>
      </c>
      <c r="BE24" s="23">
        <f>JanMonthlyReport4[[#This Row],[Per Day Salary]]*JanMonthlyReport4[[#This Row],[Absent]]</f>
        <v>0</v>
      </c>
      <c r="BF24" s="26">
        <f>JanMonthlyReport4[[#This Row],[Basic Salary]]-JanMonthlyReport4[[#This Row],[Deduction]]</f>
        <v>9000</v>
      </c>
      <c r="BG24" s="21"/>
      <c r="BH24" s="43"/>
    </row>
    <row r="25" spans="1:60" x14ac:dyDescent="0.25">
      <c r="A25"/>
      <c r="B25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</row>
    <row r="26" spans="1:60" x14ac:dyDescent="0.25">
      <c r="A26"/>
      <c r="B26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</row>
    <row r="27" spans="1:60" x14ac:dyDescent="0.25">
      <c r="A27"/>
      <c r="B27"/>
    </row>
    <row r="28" spans="1:60" x14ac:dyDescent="0.25">
      <c r="A28"/>
      <c r="B28"/>
    </row>
    <row r="29" spans="1:60" x14ac:dyDescent="0.25">
      <c r="A29"/>
      <c r="B29"/>
    </row>
    <row r="30" spans="1:60" x14ac:dyDescent="0.25">
      <c r="A30"/>
      <c r="B30"/>
    </row>
    <row r="31" spans="1:60" x14ac:dyDescent="0.25">
      <c r="A31"/>
      <c r="B31"/>
    </row>
    <row r="32" spans="1:60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</sheetData>
  <mergeCells count="1">
    <mergeCell ref="F6:H6"/>
  </mergeCells>
  <conditionalFormatting sqref="AQ7 J8:J24 Q8:Q24 X8:X24 AE8:AE24 AL8:AN24">
    <cfRule type="containsText" dxfId="567" priority="15" operator="containsText" text="WO">
      <formula>NOT(ISERROR(SEARCH("WO",J7)))</formula>
    </cfRule>
  </conditionalFormatting>
  <conditionalFormatting sqref="G4 I8:J24 Q8:Q24 X8:X24 AE8:AE24 AL8:AN24">
    <cfRule type="containsText" dxfId="566" priority="14" operator="containsText" text="WO">
      <formula>NOT(ISERROR(SEARCH("WO",G4)))</formula>
    </cfRule>
  </conditionalFormatting>
  <conditionalFormatting sqref="J8:J24 Q8:Q24 X8:X24 AE8:AE24 AL8:AN24">
    <cfRule type="containsText" dxfId="563" priority="11" operator="containsText" text="L">
      <formula>NOT(ISERROR(SEARCH("L",J8)))</formula>
    </cfRule>
    <cfRule type="containsText" dxfId="564" priority="12" operator="containsText" text="A">
      <formula>NOT(ISERROR(SEARCH("A",J8)))</formula>
    </cfRule>
    <cfRule type="containsText" dxfId="565" priority="13" operator="containsText" text="P">
      <formula>NOT(ISERROR(SEARCH("P",J8)))</formula>
    </cfRule>
  </conditionalFormatting>
  <conditionalFormatting sqref="K8:P24">
    <cfRule type="containsText" dxfId="295" priority="10" operator="containsText" text="WO">
      <formula>NOT(ISERROR(SEARCH("WO",K8)))</formula>
    </cfRule>
  </conditionalFormatting>
  <conditionalFormatting sqref="K8:P24">
    <cfRule type="containsText" dxfId="294" priority="9" operator="containsText" text="WO">
      <formula>NOT(ISERROR(SEARCH("WO",K8)))</formula>
    </cfRule>
  </conditionalFormatting>
  <conditionalFormatting sqref="K8:P24">
    <cfRule type="containsText" dxfId="291" priority="6" operator="containsText" text="L">
      <formula>NOT(ISERROR(SEARCH("L",K8)))</formula>
    </cfRule>
    <cfRule type="containsText" dxfId="292" priority="7" operator="containsText" text="A">
      <formula>NOT(ISERROR(SEARCH("A",K8)))</formula>
    </cfRule>
    <cfRule type="containsText" dxfId="293" priority="8" operator="containsText" text="P">
      <formula>NOT(ISERROR(SEARCH("P",K8)))</formula>
    </cfRule>
  </conditionalFormatting>
  <conditionalFormatting sqref="AF8:AK24 Y8:AD24 R8:W24">
    <cfRule type="containsText" dxfId="290" priority="5" operator="containsText" text="WO">
      <formula>NOT(ISERROR(SEARCH("WO",R8)))</formula>
    </cfRule>
  </conditionalFormatting>
  <conditionalFormatting sqref="AF8:AK24 Y8:AD24 R8:W24">
    <cfRule type="containsText" dxfId="289" priority="4" operator="containsText" text="WO">
      <formula>NOT(ISERROR(SEARCH("WO",R8)))</formula>
    </cfRule>
  </conditionalFormatting>
  <conditionalFormatting sqref="AF8:AK24 Y8:AD24 R8:W24">
    <cfRule type="containsText" dxfId="286" priority="1" operator="containsText" text="L">
      <formula>NOT(ISERROR(SEARCH("L",R8)))</formula>
    </cfRule>
    <cfRule type="containsText" dxfId="287" priority="2" operator="containsText" text="A">
      <formula>NOT(ISERROR(SEARCH("A",R8)))</formula>
    </cfRule>
    <cfRule type="containsText" dxfId="288" priority="3" operator="containsText" text="P">
      <formula>NOT(ISERROR(SEARCH("P",R8)))</formula>
    </cfRule>
  </conditionalFormatting>
  <dataValidations count="1">
    <dataValidation type="list" allowBlank="1" showInputMessage="1" showErrorMessage="1" sqref="R8:W24 Y8:AD24 K8:P24 AF8:AN24" xr:uid="{630267B2-07E7-4548-A3B1-C2D0E4732282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78BBDB-C7C9-4C8D-A36F-9C8CB24E5050}">
          <x14:formula1>
            <xm:f>Rough!$A$1:$A$12</xm:f>
          </x14:formula1>
          <xm:sqref>G4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066386C-C672-4200-A7F4-30A7C3B1E307}">
          <x14:colorSeries theme="7"/>
          <x14:colorNegative rgb="FFFF0000"/>
          <x14:colorAxis rgb="FF000000"/>
          <x14:colorMarkers theme="7" tint="-0.499984740745262"/>
          <x14:colorFirst theme="7" tint="0.39997558519241921"/>
          <x14:colorLast theme="7" tint="0.39997558519241921"/>
          <x14:colorHigh theme="9" tint="-0.249977111117893"/>
          <x14:colorLow theme="7"/>
          <x14:sparklines>
            <x14:sparkline>
              <xm:f>Feb!AW8:AY8</xm:f>
              <xm:sqref>BG8</xm:sqref>
            </x14:sparkline>
            <x14:sparkline>
              <xm:f>Feb!AW9:AY9</xm:f>
              <xm:sqref>BG9</xm:sqref>
            </x14:sparkline>
            <x14:sparkline>
              <xm:f>Feb!AW10:AY10</xm:f>
              <xm:sqref>BG10</xm:sqref>
            </x14:sparkline>
            <x14:sparkline>
              <xm:f>Feb!AW11:AY11</xm:f>
              <xm:sqref>BG11</xm:sqref>
            </x14:sparkline>
            <x14:sparkline>
              <xm:f>Feb!AW12:AY12</xm:f>
              <xm:sqref>BG12</xm:sqref>
            </x14:sparkline>
            <x14:sparkline>
              <xm:f>Feb!AW13:AY13</xm:f>
              <xm:sqref>BG13</xm:sqref>
            </x14:sparkline>
            <x14:sparkline>
              <xm:f>Feb!AW14:AY14</xm:f>
              <xm:sqref>BG14</xm:sqref>
            </x14:sparkline>
            <x14:sparkline>
              <xm:f>Feb!AW15:AY15</xm:f>
              <xm:sqref>BG15</xm:sqref>
            </x14:sparkline>
            <x14:sparkline>
              <xm:f>Feb!AW16:AY16</xm:f>
              <xm:sqref>BG16</xm:sqref>
            </x14:sparkline>
            <x14:sparkline>
              <xm:f>Feb!AW17:AY17</xm:f>
              <xm:sqref>BG17</xm:sqref>
            </x14:sparkline>
            <x14:sparkline>
              <xm:f>Feb!AW18:AY18</xm:f>
              <xm:sqref>BG18</xm:sqref>
            </x14:sparkline>
            <x14:sparkline>
              <xm:f>Feb!AW19:AY19</xm:f>
              <xm:sqref>BG19</xm:sqref>
            </x14:sparkline>
            <x14:sparkline>
              <xm:f>Feb!AW20:AY20</xm:f>
              <xm:sqref>BG20</xm:sqref>
            </x14:sparkline>
            <x14:sparkline>
              <xm:f>Feb!AW21:AY21</xm:f>
              <xm:sqref>BG21</xm:sqref>
            </x14:sparkline>
            <x14:sparkline>
              <xm:f>Feb!AW22:AY22</xm:f>
              <xm:sqref>BG22</xm:sqref>
            </x14:sparkline>
            <x14:sparkline>
              <xm:f>Feb!AW23:AY23</xm:f>
              <xm:sqref>BG23</xm:sqref>
            </x14:sparkline>
            <x14:sparkline>
              <xm:f>Feb!AW24:AY24</xm:f>
              <xm:sqref>BG24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0D9F-2645-4679-8A58-8DD87DC8DA20}">
  <dimension ref="A1:BH36"/>
  <sheetViews>
    <sheetView topLeftCell="AT1" zoomScale="90" zoomScaleNormal="90" workbookViewId="0">
      <selection activeCell="BG8" sqref="BG8:BG24"/>
    </sheetView>
  </sheetViews>
  <sheetFormatPr defaultRowHeight="15" x14ac:dyDescent="0.25"/>
  <cols>
    <col min="1" max="5" width="9.140625" style="37"/>
    <col min="6" max="6" width="8.28515625" style="37" bestFit="1" customWidth="1"/>
    <col min="7" max="7" width="14.7109375" style="37" bestFit="1" customWidth="1"/>
    <col min="8" max="8" width="24" style="37" bestFit="1" customWidth="1"/>
    <col min="9" max="9" width="9.85546875" style="37" bestFit="1" customWidth="1"/>
    <col min="10" max="10" width="8.42578125" style="37" bestFit="1" customWidth="1"/>
    <col min="11" max="11" width="6.42578125" style="37" customWidth="1"/>
    <col min="12" max="12" width="5.85546875" style="37" bestFit="1" customWidth="1"/>
    <col min="13" max="13" width="6.42578125" style="37" bestFit="1" customWidth="1"/>
    <col min="14" max="14" width="6.5703125" style="37" bestFit="1" customWidth="1"/>
    <col min="15" max="15" width="6.140625" style="37" bestFit="1" customWidth="1"/>
    <col min="16" max="16" width="6.85546875" style="37" bestFit="1" customWidth="1"/>
    <col min="17" max="17" width="6.140625" style="37" bestFit="1" customWidth="1"/>
    <col min="18" max="18" width="4.7109375" style="37" bestFit="1" customWidth="1"/>
    <col min="19" max="19" width="5.85546875" style="37" bestFit="1" customWidth="1"/>
    <col min="20" max="20" width="6.42578125" style="37" bestFit="1" customWidth="1"/>
    <col min="21" max="21" width="6.5703125" style="37" bestFit="1" customWidth="1"/>
    <col min="22" max="22" width="6.140625" style="37" bestFit="1" customWidth="1"/>
    <col min="23" max="23" width="6.85546875" style="37" bestFit="1" customWidth="1"/>
    <col min="24" max="24" width="6.140625" style="37" bestFit="1" customWidth="1"/>
    <col min="25" max="25" width="4.7109375" style="37" bestFit="1" customWidth="1"/>
    <col min="26" max="26" width="5.85546875" style="37" bestFit="1" customWidth="1"/>
    <col min="27" max="27" width="6.42578125" style="37" bestFit="1" customWidth="1"/>
    <col min="28" max="28" width="6.5703125" style="37" bestFit="1" customWidth="1"/>
    <col min="29" max="29" width="6.140625" style="37" bestFit="1" customWidth="1"/>
    <col min="30" max="30" width="6.85546875" style="37" bestFit="1" customWidth="1"/>
    <col min="31" max="31" width="6.140625" style="37" bestFit="1" customWidth="1"/>
    <col min="32" max="32" width="4.7109375" style="37" bestFit="1" customWidth="1"/>
    <col min="33" max="33" width="5.85546875" style="37" bestFit="1" customWidth="1"/>
    <col min="34" max="34" width="6.42578125" style="37" bestFit="1" customWidth="1"/>
    <col min="35" max="35" width="6.5703125" style="37" bestFit="1" customWidth="1"/>
    <col min="36" max="36" width="6.140625" style="37" bestFit="1" customWidth="1"/>
    <col min="37" max="37" width="6.85546875" style="37" bestFit="1" customWidth="1"/>
    <col min="38" max="38" width="6.140625" style="37" bestFit="1" customWidth="1"/>
    <col min="39" max="39" width="4.5703125" style="37" bestFit="1" customWidth="1"/>
    <col min="40" max="40" width="5.7109375" style="37" bestFit="1" customWidth="1"/>
    <col min="41" max="45" width="9.140625" style="37"/>
    <col min="46" max="47" width="15.140625" style="37" customWidth="1"/>
    <col min="48" max="48" width="21.5703125" style="37" bestFit="1" customWidth="1"/>
    <col min="49" max="49" width="9.85546875" style="37" customWidth="1"/>
    <col min="50" max="50" width="9.28515625" style="37" customWidth="1"/>
    <col min="51" max="51" width="8.42578125" style="37" customWidth="1"/>
    <col min="52" max="52" width="11.85546875" style="37" customWidth="1"/>
    <col min="53" max="53" width="7.7109375" style="37" customWidth="1"/>
    <col min="54" max="54" width="12" style="37" customWidth="1"/>
    <col min="55" max="55" width="14" style="37" customWidth="1"/>
    <col min="56" max="56" width="16.28515625" style="37" customWidth="1"/>
    <col min="57" max="57" width="12.5703125" style="37" bestFit="1" customWidth="1"/>
    <col min="58" max="58" width="13.7109375" style="37" customWidth="1"/>
    <col min="59" max="59" width="16.7109375" style="37" customWidth="1"/>
    <col min="60" max="16384" width="9.140625" style="37"/>
  </cols>
  <sheetData>
    <row r="1" spans="1:6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6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60" x14ac:dyDescent="0.25">
      <c r="A3"/>
      <c r="B3"/>
    </row>
    <row r="4" spans="1:60" x14ac:dyDescent="0.25">
      <c r="A4"/>
      <c r="B4"/>
      <c r="D4"/>
      <c r="E4" s="39"/>
      <c r="F4" s="39" t="s">
        <v>41</v>
      </c>
      <c r="G4" s="40">
        <v>46082</v>
      </c>
      <c r="H4" s="41">
        <f>DATEDIF($G$4,$K$4,"D")+1</f>
        <v>31</v>
      </c>
      <c r="I4" s="39" t="str">
        <f>TEXT(G4,"MMMM")</f>
        <v>March</v>
      </c>
      <c r="J4" s="39" t="s">
        <v>42</v>
      </c>
      <c r="K4" s="40">
        <f>EOMONTH(G4,0)</f>
        <v>46112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60" ht="15.75" thickBot="1" x14ac:dyDescent="0.3">
      <c r="A5"/>
      <c r="B5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</row>
    <row r="6" spans="1:60" x14ac:dyDescent="0.25">
      <c r="A6"/>
      <c r="B6"/>
      <c r="E6" s="39"/>
      <c r="F6" s="46" t="s">
        <v>44</v>
      </c>
      <c r="G6" s="47"/>
      <c r="H6" s="48"/>
      <c r="I6" s="27" t="s">
        <v>43</v>
      </c>
      <c r="J6" s="28" t="str">
        <f>TEXT(J7,"DDD")</f>
        <v>Sun</v>
      </c>
      <c r="K6" s="28" t="str">
        <f t="shared" ref="K6:AN6" si="0">TEXT(K7,"DDD")</f>
        <v>Mon</v>
      </c>
      <c r="L6" s="28" t="str">
        <f t="shared" si="0"/>
        <v>Tue</v>
      </c>
      <c r="M6" s="28" t="str">
        <f t="shared" si="0"/>
        <v>Wed</v>
      </c>
      <c r="N6" s="28" t="str">
        <f t="shared" si="0"/>
        <v>Thu</v>
      </c>
      <c r="O6" s="28" t="str">
        <f t="shared" si="0"/>
        <v>Fri</v>
      </c>
      <c r="P6" s="28" t="str">
        <f t="shared" si="0"/>
        <v>Sat</v>
      </c>
      <c r="Q6" s="28" t="str">
        <f t="shared" si="0"/>
        <v>Sun</v>
      </c>
      <c r="R6" s="28" t="str">
        <f t="shared" si="0"/>
        <v>Mon</v>
      </c>
      <c r="S6" s="28" t="str">
        <f t="shared" si="0"/>
        <v>Tue</v>
      </c>
      <c r="T6" s="28" t="str">
        <f t="shared" si="0"/>
        <v>Wed</v>
      </c>
      <c r="U6" s="28" t="str">
        <f t="shared" si="0"/>
        <v>Thu</v>
      </c>
      <c r="V6" s="28" t="str">
        <f t="shared" si="0"/>
        <v>Fri</v>
      </c>
      <c r="W6" s="28" t="str">
        <f t="shared" si="0"/>
        <v>Sat</v>
      </c>
      <c r="X6" s="28" t="str">
        <f t="shared" si="0"/>
        <v>Sun</v>
      </c>
      <c r="Y6" s="28" t="str">
        <f t="shared" si="0"/>
        <v>Mon</v>
      </c>
      <c r="Z6" s="28" t="str">
        <f t="shared" si="0"/>
        <v>Tue</v>
      </c>
      <c r="AA6" s="28" t="str">
        <f t="shared" si="0"/>
        <v>Wed</v>
      </c>
      <c r="AB6" s="28" t="str">
        <f t="shared" si="0"/>
        <v>Thu</v>
      </c>
      <c r="AC6" s="28" t="str">
        <f t="shared" si="0"/>
        <v>Fri</v>
      </c>
      <c r="AD6" s="28" t="str">
        <f t="shared" si="0"/>
        <v>Sat</v>
      </c>
      <c r="AE6" s="28" t="str">
        <f t="shared" si="0"/>
        <v>Sun</v>
      </c>
      <c r="AF6" s="28" t="str">
        <f t="shared" si="0"/>
        <v>Mon</v>
      </c>
      <c r="AG6" s="28" t="str">
        <f t="shared" si="0"/>
        <v>Tue</v>
      </c>
      <c r="AH6" s="28" t="str">
        <f t="shared" si="0"/>
        <v>Wed</v>
      </c>
      <c r="AI6" s="28" t="str">
        <f t="shared" si="0"/>
        <v>Thu</v>
      </c>
      <c r="AJ6" s="28" t="str">
        <f t="shared" si="0"/>
        <v>Fri</v>
      </c>
      <c r="AK6" s="28" t="str">
        <f t="shared" si="0"/>
        <v>Sat</v>
      </c>
      <c r="AL6" s="28" t="str">
        <f t="shared" si="0"/>
        <v>Sun</v>
      </c>
      <c r="AM6" s="28" t="str">
        <f t="shared" si="0"/>
        <v>Mon</v>
      </c>
      <c r="AN6" s="29" t="str">
        <f t="shared" si="0"/>
        <v>Tue</v>
      </c>
      <c r="AO6" s="42" t="str">
        <f>IF(AN7 &lt; $K$4,AN7+1,"")</f>
        <v/>
      </c>
      <c r="AP6" s="38"/>
      <c r="AQ6" s="38"/>
      <c r="AR6" s="44"/>
      <c r="AS6" s="44"/>
      <c r="AT6" s="44"/>
      <c r="AU6" s="44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</row>
    <row r="7" spans="1:60" ht="15.75" thickBot="1" x14ac:dyDescent="0.3">
      <c r="A7"/>
      <c r="B7"/>
      <c r="E7" s="39"/>
      <c r="F7" s="30" t="s">
        <v>37</v>
      </c>
      <c r="G7" s="12" t="s">
        <v>38</v>
      </c>
      <c r="H7" s="13" t="s">
        <v>39</v>
      </c>
      <c r="I7" s="16" t="s">
        <v>40</v>
      </c>
      <c r="J7" s="17">
        <f>G4</f>
        <v>46082</v>
      </c>
      <c r="K7" s="17">
        <f t="shared" ref="K7:AN7" si="1">IF(J7 &lt; $K$4,J7+1,"")</f>
        <v>46083</v>
      </c>
      <c r="L7" s="17">
        <f t="shared" si="1"/>
        <v>46084</v>
      </c>
      <c r="M7" s="17">
        <f t="shared" si="1"/>
        <v>46085</v>
      </c>
      <c r="N7" s="17">
        <f t="shared" si="1"/>
        <v>46086</v>
      </c>
      <c r="O7" s="17">
        <f t="shared" si="1"/>
        <v>46087</v>
      </c>
      <c r="P7" s="17">
        <f t="shared" si="1"/>
        <v>46088</v>
      </c>
      <c r="Q7" s="17">
        <f t="shared" si="1"/>
        <v>46089</v>
      </c>
      <c r="R7" s="17">
        <f t="shared" si="1"/>
        <v>46090</v>
      </c>
      <c r="S7" s="17">
        <f t="shared" si="1"/>
        <v>46091</v>
      </c>
      <c r="T7" s="17">
        <f t="shared" si="1"/>
        <v>46092</v>
      </c>
      <c r="U7" s="17">
        <f t="shared" si="1"/>
        <v>46093</v>
      </c>
      <c r="V7" s="17">
        <f t="shared" si="1"/>
        <v>46094</v>
      </c>
      <c r="W7" s="17">
        <f t="shared" si="1"/>
        <v>46095</v>
      </c>
      <c r="X7" s="17">
        <f t="shared" si="1"/>
        <v>46096</v>
      </c>
      <c r="Y7" s="17">
        <f t="shared" si="1"/>
        <v>46097</v>
      </c>
      <c r="Z7" s="17">
        <f t="shared" si="1"/>
        <v>46098</v>
      </c>
      <c r="AA7" s="17">
        <f t="shared" si="1"/>
        <v>46099</v>
      </c>
      <c r="AB7" s="17">
        <f t="shared" si="1"/>
        <v>46100</v>
      </c>
      <c r="AC7" s="17">
        <f t="shared" si="1"/>
        <v>46101</v>
      </c>
      <c r="AD7" s="17">
        <f t="shared" si="1"/>
        <v>46102</v>
      </c>
      <c r="AE7" s="17">
        <f t="shared" si="1"/>
        <v>46103</v>
      </c>
      <c r="AF7" s="17">
        <f t="shared" si="1"/>
        <v>46104</v>
      </c>
      <c r="AG7" s="17">
        <f t="shared" si="1"/>
        <v>46105</v>
      </c>
      <c r="AH7" s="17">
        <f t="shared" si="1"/>
        <v>46106</v>
      </c>
      <c r="AI7" s="17">
        <f t="shared" si="1"/>
        <v>46107</v>
      </c>
      <c r="AJ7" s="17">
        <f t="shared" si="1"/>
        <v>46108</v>
      </c>
      <c r="AK7" s="17">
        <f t="shared" si="1"/>
        <v>46109</v>
      </c>
      <c r="AL7" s="17">
        <f t="shared" si="1"/>
        <v>46110</v>
      </c>
      <c r="AM7" s="17">
        <f t="shared" si="1"/>
        <v>46111</v>
      </c>
      <c r="AN7" s="31">
        <f t="shared" si="1"/>
        <v>46112</v>
      </c>
      <c r="AO7" s="39"/>
      <c r="AR7" s="43"/>
      <c r="AS7" s="18" t="s">
        <v>37</v>
      </c>
      <c r="AT7" s="18" t="s">
        <v>38</v>
      </c>
      <c r="AU7" s="18" t="s">
        <v>56</v>
      </c>
      <c r="AV7" s="19" t="s">
        <v>39</v>
      </c>
      <c r="AW7" s="18" t="s">
        <v>45</v>
      </c>
      <c r="AX7" s="18" t="s">
        <v>46</v>
      </c>
      <c r="AY7" s="18" t="s">
        <v>47</v>
      </c>
      <c r="AZ7" s="18" t="s">
        <v>48</v>
      </c>
      <c r="BA7" s="18" t="s">
        <v>49</v>
      </c>
      <c r="BB7" s="18" t="s">
        <v>50</v>
      </c>
      <c r="BC7" s="18" t="s">
        <v>51</v>
      </c>
      <c r="BD7" s="18" t="s">
        <v>52</v>
      </c>
      <c r="BE7" s="18" t="s">
        <v>53</v>
      </c>
      <c r="BF7" s="20" t="s">
        <v>54</v>
      </c>
      <c r="BG7" s="18" t="s">
        <v>55</v>
      </c>
      <c r="BH7" s="43"/>
    </row>
    <row r="8" spans="1:60" x14ac:dyDescent="0.25">
      <c r="A8"/>
      <c r="B8"/>
      <c r="E8" s="39"/>
      <c r="F8" s="24">
        <v>1</v>
      </c>
      <c r="G8" s="14" t="s">
        <v>20</v>
      </c>
      <c r="H8" s="10" t="s">
        <v>3</v>
      </c>
      <c r="I8" s="15">
        <f>COUNTIF($J$6:$AN$6,"sun")</f>
        <v>5</v>
      </c>
      <c r="J8" s="14" t="str">
        <f>IF(J$6 = "sun","WO","")</f>
        <v>WO</v>
      </c>
      <c r="K8" s="14" t="s">
        <v>57</v>
      </c>
      <c r="L8" s="14" t="s">
        <v>57</v>
      </c>
      <c r="M8" s="14" t="s">
        <v>57</v>
      </c>
      <c r="N8" s="14" t="s">
        <v>57</v>
      </c>
      <c r="O8" s="14" t="s">
        <v>57</v>
      </c>
      <c r="P8" s="14" t="s">
        <v>57</v>
      </c>
      <c r="Q8" s="14" t="str">
        <f t="shared" ref="K8:AN16" si="2">IF(Q$6 = "sun","WO","")</f>
        <v>WO</v>
      </c>
      <c r="R8" s="14" t="s">
        <v>57</v>
      </c>
      <c r="S8" s="14" t="s">
        <v>57</v>
      </c>
      <c r="T8" s="14" t="s">
        <v>57</v>
      </c>
      <c r="U8" s="14" t="s">
        <v>57</v>
      </c>
      <c r="V8" s="14" t="s">
        <v>57</v>
      </c>
      <c r="W8" s="14" t="s">
        <v>57</v>
      </c>
      <c r="X8" s="14" t="str">
        <f t="shared" si="2"/>
        <v>WO</v>
      </c>
      <c r="Y8" s="14" t="s">
        <v>57</v>
      </c>
      <c r="Z8" s="14" t="s">
        <v>57</v>
      </c>
      <c r="AA8" s="14" t="s">
        <v>57</v>
      </c>
      <c r="AB8" s="14" t="s">
        <v>57</v>
      </c>
      <c r="AC8" s="14" t="s">
        <v>57</v>
      </c>
      <c r="AD8" s="14" t="s">
        <v>57</v>
      </c>
      <c r="AE8" s="14" t="str">
        <f t="shared" si="2"/>
        <v>WO</v>
      </c>
      <c r="AF8" s="14" t="s">
        <v>57</v>
      </c>
      <c r="AG8" s="14" t="s">
        <v>57</v>
      </c>
      <c r="AH8" s="14" t="s">
        <v>57</v>
      </c>
      <c r="AI8" s="14" t="s">
        <v>57</v>
      </c>
      <c r="AJ8" s="14" t="s">
        <v>57</v>
      </c>
      <c r="AK8" s="14" t="s">
        <v>57</v>
      </c>
      <c r="AL8" s="14" t="str">
        <f t="shared" si="2"/>
        <v>WO</v>
      </c>
      <c r="AM8" s="14" t="s">
        <v>58</v>
      </c>
      <c r="AN8" s="32" t="s">
        <v>58</v>
      </c>
      <c r="AO8" s="39"/>
      <c r="AR8" s="43"/>
      <c r="AS8" s="22">
        <v>1</v>
      </c>
      <c r="AT8" s="14" t="s">
        <v>20</v>
      </c>
      <c r="AU8" s="14" t="str">
        <f t="shared" ref="AU8:AU24" si="3">$I$4</f>
        <v>March</v>
      </c>
      <c r="AV8" s="10" t="s">
        <v>3</v>
      </c>
      <c r="AW8" s="22">
        <f t="shared" ref="AW8:AW24" si="4">COUNTIF($J8:$AN8,"P")</f>
        <v>24</v>
      </c>
      <c r="AX8" s="22">
        <f t="shared" ref="AX8:AX24" si="5">COUNTIF($J8:$AN8,"A")</f>
        <v>0</v>
      </c>
      <c r="AY8" s="22">
        <f t="shared" ref="AY8:AY24" si="6">COUNTIF($J8:$AN8,"L")</f>
        <v>2</v>
      </c>
      <c r="AZ8" s="22">
        <f t="shared" ref="AZ8:AZ24" si="7">$I$8</f>
        <v>5</v>
      </c>
      <c r="BA8" s="22">
        <f t="shared" ref="BA8:BA24" si="8">$H$4</f>
        <v>31</v>
      </c>
      <c r="BB8" s="22">
        <f>JanMonthlyReport5[[#This Row],[Days]]-JanMonthlyReport5[[#This Row],[Absent]]</f>
        <v>31</v>
      </c>
      <c r="BC8" s="23">
        <v>100000</v>
      </c>
      <c r="BD8" s="23">
        <f>JanMonthlyReport5[[#This Row],[Basic Salary]]/JanMonthlyReport5[[#This Row],[Days]]</f>
        <v>3225.8064516129034</v>
      </c>
      <c r="BE8" s="23">
        <f>JanMonthlyReport5[[#This Row],[Per Day Salary]]*JanMonthlyReport5[[#This Row],[Absent]]</f>
        <v>0</v>
      </c>
      <c r="BF8" s="26">
        <f>JanMonthlyReport5[[#This Row],[Basic Salary]]-JanMonthlyReport5[[#This Row],[Deduction]]</f>
        <v>100000</v>
      </c>
      <c r="BG8" s="21"/>
      <c r="BH8" s="43"/>
    </row>
    <row r="9" spans="1:60" x14ac:dyDescent="0.25">
      <c r="A9"/>
      <c r="B9"/>
      <c r="E9" s="39"/>
      <c r="F9" s="24">
        <v>2</v>
      </c>
      <c r="G9" s="14" t="s">
        <v>21</v>
      </c>
      <c r="H9" s="10" t="s">
        <v>4</v>
      </c>
      <c r="I9" s="15">
        <f t="shared" ref="I9:I24" si="9">COUNTIF($J$6:$AN$6,"sun")</f>
        <v>5</v>
      </c>
      <c r="J9" s="14" t="str">
        <f t="shared" ref="J9:Y24" si="10">IF(J$6 = "sun","WO","")</f>
        <v>WO</v>
      </c>
      <c r="K9" s="14" t="s">
        <v>57</v>
      </c>
      <c r="L9" s="14" t="s">
        <v>57</v>
      </c>
      <c r="M9" s="14" t="s">
        <v>57</v>
      </c>
      <c r="N9" s="14" t="s">
        <v>57</v>
      </c>
      <c r="O9" s="14" t="s">
        <v>57</v>
      </c>
      <c r="P9" s="14" t="s">
        <v>57</v>
      </c>
      <c r="Q9" s="14" t="str">
        <f t="shared" si="2"/>
        <v>WO</v>
      </c>
      <c r="R9" s="14" t="s">
        <v>57</v>
      </c>
      <c r="S9" s="14" t="s">
        <v>57</v>
      </c>
      <c r="T9" s="14" t="s">
        <v>57</v>
      </c>
      <c r="U9" s="14" t="s">
        <v>57</v>
      </c>
      <c r="V9" s="14" t="s">
        <v>57</v>
      </c>
      <c r="W9" s="14" t="s">
        <v>57</v>
      </c>
      <c r="X9" s="14" t="str">
        <f t="shared" si="2"/>
        <v>WO</v>
      </c>
      <c r="Y9" s="14" t="s">
        <v>57</v>
      </c>
      <c r="Z9" s="14" t="s">
        <v>57</v>
      </c>
      <c r="AA9" s="14" t="s">
        <v>57</v>
      </c>
      <c r="AB9" s="14" t="s">
        <v>57</v>
      </c>
      <c r="AC9" s="14" t="s">
        <v>57</v>
      </c>
      <c r="AD9" s="14" t="s">
        <v>57</v>
      </c>
      <c r="AE9" s="14" t="str">
        <f t="shared" si="2"/>
        <v>WO</v>
      </c>
      <c r="AF9" s="14" t="s">
        <v>57</v>
      </c>
      <c r="AG9" s="14" t="s">
        <v>57</v>
      </c>
      <c r="AH9" s="14" t="s">
        <v>57</v>
      </c>
      <c r="AI9" s="14" t="s">
        <v>57</v>
      </c>
      <c r="AJ9" s="14" t="s">
        <v>57</v>
      </c>
      <c r="AK9" s="14" t="s">
        <v>57</v>
      </c>
      <c r="AL9" s="14" t="str">
        <f t="shared" si="2"/>
        <v>WO</v>
      </c>
      <c r="AM9" s="14" t="s">
        <v>58</v>
      </c>
      <c r="AN9" s="32" t="s">
        <v>58</v>
      </c>
      <c r="AO9" s="39"/>
      <c r="AR9" s="43"/>
      <c r="AS9" s="22">
        <v>2</v>
      </c>
      <c r="AT9" s="14" t="s">
        <v>21</v>
      </c>
      <c r="AU9" s="14" t="str">
        <f t="shared" si="3"/>
        <v>March</v>
      </c>
      <c r="AV9" s="10" t="s">
        <v>4</v>
      </c>
      <c r="AW9" s="22">
        <f t="shared" si="4"/>
        <v>24</v>
      </c>
      <c r="AX9" s="22">
        <f t="shared" si="5"/>
        <v>0</v>
      </c>
      <c r="AY9" s="22">
        <f t="shared" si="6"/>
        <v>2</v>
      </c>
      <c r="AZ9" s="22">
        <f t="shared" si="7"/>
        <v>5</v>
      </c>
      <c r="BA9" s="22">
        <f t="shared" si="8"/>
        <v>31</v>
      </c>
      <c r="BB9" s="22">
        <f>JanMonthlyReport5[[#This Row],[Days]]-JanMonthlyReport5[[#This Row],[Absent]]</f>
        <v>31</v>
      </c>
      <c r="BC9" s="23">
        <v>70000</v>
      </c>
      <c r="BD9" s="23">
        <f>JanMonthlyReport5[[#This Row],[Basic Salary]]/JanMonthlyReport5[[#This Row],[Days]]</f>
        <v>2258.0645161290322</v>
      </c>
      <c r="BE9" s="23">
        <f>JanMonthlyReport5[[#This Row],[Per Day Salary]]*JanMonthlyReport5[[#This Row],[Absent]]</f>
        <v>0</v>
      </c>
      <c r="BF9" s="26">
        <f>JanMonthlyReport5[[#This Row],[Basic Salary]]-JanMonthlyReport5[[#This Row],[Deduction]]</f>
        <v>70000</v>
      </c>
      <c r="BG9" s="21"/>
      <c r="BH9" s="43"/>
    </row>
    <row r="10" spans="1:60" x14ac:dyDescent="0.25">
      <c r="A10"/>
      <c r="B10"/>
      <c r="E10" s="39"/>
      <c r="F10" s="24">
        <v>3</v>
      </c>
      <c r="G10" s="14" t="s">
        <v>22</v>
      </c>
      <c r="H10" s="10" t="s">
        <v>5</v>
      </c>
      <c r="I10" s="15">
        <f t="shared" si="9"/>
        <v>5</v>
      </c>
      <c r="J10" s="14" t="str">
        <f t="shared" si="10"/>
        <v>WO</v>
      </c>
      <c r="K10" s="14" t="s">
        <v>57</v>
      </c>
      <c r="L10" s="14" t="s">
        <v>57</v>
      </c>
      <c r="M10" s="14" t="s">
        <v>57</v>
      </c>
      <c r="N10" s="14" t="s">
        <v>57</v>
      </c>
      <c r="O10" s="14" t="s">
        <v>57</v>
      </c>
      <c r="P10" s="14" t="s">
        <v>57</v>
      </c>
      <c r="Q10" s="14" t="str">
        <f t="shared" si="2"/>
        <v>WO</v>
      </c>
      <c r="R10" s="14" t="s">
        <v>57</v>
      </c>
      <c r="S10" s="14" t="s">
        <v>57</v>
      </c>
      <c r="T10" s="14" t="s">
        <v>57</v>
      </c>
      <c r="U10" s="14" t="s">
        <v>57</v>
      </c>
      <c r="V10" s="14" t="s">
        <v>57</v>
      </c>
      <c r="W10" s="14" t="s">
        <v>57</v>
      </c>
      <c r="X10" s="14" t="str">
        <f t="shared" si="2"/>
        <v>WO</v>
      </c>
      <c r="Y10" s="14" t="s">
        <v>57</v>
      </c>
      <c r="Z10" s="14" t="s">
        <v>57</v>
      </c>
      <c r="AA10" s="14" t="s">
        <v>57</v>
      </c>
      <c r="AB10" s="14" t="s">
        <v>57</v>
      </c>
      <c r="AC10" s="14" t="s">
        <v>57</v>
      </c>
      <c r="AD10" s="14" t="s">
        <v>57</v>
      </c>
      <c r="AE10" s="14" t="str">
        <f t="shared" si="2"/>
        <v>WO</v>
      </c>
      <c r="AF10" s="14" t="s">
        <v>57</v>
      </c>
      <c r="AG10" s="14" t="s">
        <v>57</v>
      </c>
      <c r="AH10" s="14" t="s">
        <v>57</v>
      </c>
      <c r="AI10" s="14" t="s">
        <v>57</v>
      </c>
      <c r="AJ10" s="14" t="s">
        <v>57</v>
      </c>
      <c r="AK10" s="14" t="s">
        <v>57</v>
      </c>
      <c r="AL10" s="14" t="str">
        <f t="shared" si="2"/>
        <v>WO</v>
      </c>
      <c r="AM10" s="14" t="s">
        <v>58</v>
      </c>
      <c r="AN10" s="32" t="s">
        <v>58</v>
      </c>
      <c r="AO10" s="39"/>
      <c r="AR10" s="43"/>
      <c r="AS10" s="22">
        <v>3</v>
      </c>
      <c r="AT10" s="14" t="s">
        <v>22</v>
      </c>
      <c r="AU10" s="14" t="str">
        <f t="shared" si="3"/>
        <v>March</v>
      </c>
      <c r="AV10" s="10" t="s">
        <v>5</v>
      </c>
      <c r="AW10" s="22">
        <f t="shared" si="4"/>
        <v>24</v>
      </c>
      <c r="AX10" s="22">
        <f t="shared" si="5"/>
        <v>0</v>
      </c>
      <c r="AY10" s="22">
        <f t="shared" si="6"/>
        <v>2</v>
      </c>
      <c r="AZ10" s="22">
        <f t="shared" si="7"/>
        <v>5</v>
      </c>
      <c r="BA10" s="22">
        <f t="shared" si="8"/>
        <v>31</v>
      </c>
      <c r="BB10" s="22">
        <f>JanMonthlyReport5[[#This Row],[Days]]-JanMonthlyReport5[[#This Row],[Absent]]</f>
        <v>31</v>
      </c>
      <c r="BC10" s="23">
        <v>80000</v>
      </c>
      <c r="BD10" s="23">
        <f>JanMonthlyReport5[[#This Row],[Basic Salary]]/JanMonthlyReport5[[#This Row],[Days]]</f>
        <v>2580.6451612903224</v>
      </c>
      <c r="BE10" s="23">
        <f>JanMonthlyReport5[[#This Row],[Per Day Salary]]*JanMonthlyReport5[[#This Row],[Absent]]</f>
        <v>0</v>
      </c>
      <c r="BF10" s="26">
        <f>JanMonthlyReport5[[#This Row],[Basic Salary]]-JanMonthlyReport5[[#This Row],[Deduction]]</f>
        <v>80000</v>
      </c>
      <c r="BG10" s="21"/>
      <c r="BH10" s="43"/>
    </row>
    <row r="11" spans="1:60" x14ac:dyDescent="0.25">
      <c r="A11"/>
      <c r="B11"/>
      <c r="E11" s="39"/>
      <c r="F11" s="24">
        <v>4</v>
      </c>
      <c r="G11" s="14" t="s">
        <v>23</v>
      </c>
      <c r="H11" s="10" t="s">
        <v>6</v>
      </c>
      <c r="I11" s="15">
        <f t="shared" si="9"/>
        <v>5</v>
      </c>
      <c r="J11" s="14" t="str">
        <f t="shared" si="10"/>
        <v>WO</v>
      </c>
      <c r="K11" s="14" t="s">
        <v>57</v>
      </c>
      <c r="L11" s="14" t="s">
        <v>57</v>
      </c>
      <c r="M11" s="14" t="s">
        <v>57</v>
      </c>
      <c r="N11" s="14" t="s">
        <v>57</v>
      </c>
      <c r="O11" s="14" t="s">
        <v>57</v>
      </c>
      <c r="P11" s="14" t="s">
        <v>57</v>
      </c>
      <c r="Q11" s="14" t="str">
        <f t="shared" si="2"/>
        <v>WO</v>
      </c>
      <c r="R11" s="14" t="s">
        <v>57</v>
      </c>
      <c r="S11" s="14" t="s">
        <v>57</v>
      </c>
      <c r="T11" s="14" t="s">
        <v>59</v>
      </c>
      <c r="U11" s="14" t="s">
        <v>57</v>
      </c>
      <c r="V11" s="14" t="s">
        <v>57</v>
      </c>
      <c r="W11" s="14" t="s">
        <v>57</v>
      </c>
      <c r="X11" s="14" t="str">
        <f t="shared" si="2"/>
        <v>WO</v>
      </c>
      <c r="Y11" s="14" t="s">
        <v>57</v>
      </c>
      <c r="Z11" s="14" t="s">
        <v>57</v>
      </c>
      <c r="AA11" s="14" t="s">
        <v>57</v>
      </c>
      <c r="AB11" s="14" t="s">
        <v>57</v>
      </c>
      <c r="AC11" s="14" t="s">
        <v>57</v>
      </c>
      <c r="AD11" s="14" t="s">
        <v>57</v>
      </c>
      <c r="AE11" s="14" t="str">
        <f t="shared" si="2"/>
        <v>WO</v>
      </c>
      <c r="AF11" s="14" t="s">
        <v>57</v>
      </c>
      <c r="AG11" s="14" t="s">
        <v>57</v>
      </c>
      <c r="AH11" s="14" t="s">
        <v>57</v>
      </c>
      <c r="AI11" s="14" t="s">
        <v>57</v>
      </c>
      <c r="AJ11" s="14" t="s">
        <v>57</v>
      </c>
      <c r="AK11" s="14" t="s">
        <v>57</v>
      </c>
      <c r="AL11" s="14" t="str">
        <f t="shared" si="2"/>
        <v>WO</v>
      </c>
      <c r="AM11" s="14" t="s">
        <v>58</v>
      </c>
      <c r="AN11" s="32" t="s">
        <v>58</v>
      </c>
      <c r="AO11" s="39"/>
      <c r="AR11" s="43"/>
      <c r="AS11" s="22">
        <v>4</v>
      </c>
      <c r="AT11" s="14" t="s">
        <v>23</v>
      </c>
      <c r="AU11" s="14" t="str">
        <f t="shared" si="3"/>
        <v>March</v>
      </c>
      <c r="AV11" s="10" t="s">
        <v>6</v>
      </c>
      <c r="AW11" s="22">
        <f t="shared" si="4"/>
        <v>23</v>
      </c>
      <c r="AX11" s="22">
        <f t="shared" si="5"/>
        <v>1</v>
      </c>
      <c r="AY11" s="22">
        <f t="shared" si="6"/>
        <v>2</v>
      </c>
      <c r="AZ11" s="22">
        <f t="shared" si="7"/>
        <v>5</v>
      </c>
      <c r="BA11" s="22">
        <f t="shared" si="8"/>
        <v>31</v>
      </c>
      <c r="BB11" s="22">
        <f>JanMonthlyReport5[[#This Row],[Days]]-JanMonthlyReport5[[#This Row],[Absent]]</f>
        <v>30</v>
      </c>
      <c r="BC11" s="23">
        <v>75000</v>
      </c>
      <c r="BD11" s="23">
        <f>JanMonthlyReport5[[#This Row],[Basic Salary]]/JanMonthlyReport5[[#This Row],[Days]]</f>
        <v>2419.3548387096776</v>
      </c>
      <c r="BE11" s="23">
        <f>JanMonthlyReport5[[#This Row],[Per Day Salary]]*JanMonthlyReport5[[#This Row],[Absent]]</f>
        <v>2419.3548387096776</v>
      </c>
      <c r="BF11" s="26">
        <f>JanMonthlyReport5[[#This Row],[Basic Salary]]-JanMonthlyReport5[[#This Row],[Deduction]]</f>
        <v>72580.645161290318</v>
      </c>
      <c r="BG11" s="21"/>
      <c r="BH11" s="43"/>
    </row>
    <row r="12" spans="1:60" x14ac:dyDescent="0.25">
      <c r="A12"/>
      <c r="B12"/>
      <c r="E12" s="39"/>
      <c r="F12" s="24">
        <v>5</v>
      </c>
      <c r="G12" s="14" t="s">
        <v>24</v>
      </c>
      <c r="H12" s="10" t="s">
        <v>7</v>
      </c>
      <c r="I12" s="15">
        <f t="shared" si="9"/>
        <v>5</v>
      </c>
      <c r="J12" s="14" t="str">
        <f t="shared" si="10"/>
        <v>WO</v>
      </c>
      <c r="K12" s="14" t="s">
        <v>57</v>
      </c>
      <c r="L12" s="14" t="s">
        <v>59</v>
      </c>
      <c r="M12" s="14" t="s">
        <v>57</v>
      </c>
      <c r="N12" s="14" t="s">
        <v>57</v>
      </c>
      <c r="O12" s="14" t="s">
        <v>57</v>
      </c>
      <c r="P12" s="14" t="s">
        <v>57</v>
      </c>
      <c r="Q12" s="14" t="str">
        <f t="shared" si="2"/>
        <v>WO</v>
      </c>
      <c r="R12" s="14" t="s">
        <v>57</v>
      </c>
      <c r="S12" s="14" t="s">
        <v>59</v>
      </c>
      <c r="T12" s="14" t="s">
        <v>57</v>
      </c>
      <c r="U12" s="14" t="s">
        <v>57</v>
      </c>
      <c r="V12" s="14" t="s">
        <v>57</v>
      </c>
      <c r="W12" s="14" t="s">
        <v>57</v>
      </c>
      <c r="X12" s="14" t="str">
        <f t="shared" si="2"/>
        <v>WO</v>
      </c>
      <c r="Y12" s="14" t="s">
        <v>57</v>
      </c>
      <c r="Z12" s="14" t="s">
        <v>59</v>
      </c>
      <c r="AA12" s="14" t="s">
        <v>57</v>
      </c>
      <c r="AB12" s="14" t="s">
        <v>57</v>
      </c>
      <c r="AC12" s="14" t="s">
        <v>57</v>
      </c>
      <c r="AD12" s="14" t="s">
        <v>57</v>
      </c>
      <c r="AE12" s="14" t="str">
        <f t="shared" si="2"/>
        <v>WO</v>
      </c>
      <c r="AF12" s="14" t="s">
        <v>57</v>
      </c>
      <c r="AG12" s="14" t="s">
        <v>59</v>
      </c>
      <c r="AH12" s="14" t="s">
        <v>57</v>
      </c>
      <c r="AI12" s="14" t="s">
        <v>57</v>
      </c>
      <c r="AJ12" s="14" t="s">
        <v>57</v>
      </c>
      <c r="AK12" s="14" t="s">
        <v>57</v>
      </c>
      <c r="AL12" s="14" t="str">
        <f t="shared" si="2"/>
        <v>WO</v>
      </c>
      <c r="AM12" s="14" t="s">
        <v>58</v>
      </c>
      <c r="AN12" s="32" t="s">
        <v>58</v>
      </c>
      <c r="AO12" s="39"/>
      <c r="AR12" s="43"/>
      <c r="AS12" s="22">
        <v>5</v>
      </c>
      <c r="AT12" s="14" t="s">
        <v>24</v>
      </c>
      <c r="AU12" s="14" t="str">
        <f t="shared" si="3"/>
        <v>March</v>
      </c>
      <c r="AV12" s="10" t="s">
        <v>7</v>
      </c>
      <c r="AW12" s="22">
        <f t="shared" si="4"/>
        <v>20</v>
      </c>
      <c r="AX12" s="22">
        <f t="shared" si="5"/>
        <v>4</v>
      </c>
      <c r="AY12" s="22">
        <f t="shared" si="6"/>
        <v>2</v>
      </c>
      <c r="AZ12" s="22">
        <f t="shared" si="7"/>
        <v>5</v>
      </c>
      <c r="BA12" s="22">
        <f t="shared" si="8"/>
        <v>31</v>
      </c>
      <c r="BB12" s="22">
        <f>JanMonthlyReport5[[#This Row],[Days]]-JanMonthlyReport5[[#This Row],[Absent]]</f>
        <v>27</v>
      </c>
      <c r="BC12" s="23">
        <v>16000</v>
      </c>
      <c r="BD12" s="23">
        <f>JanMonthlyReport5[[#This Row],[Basic Salary]]/JanMonthlyReport5[[#This Row],[Days]]</f>
        <v>516.12903225806451</v>
      </c>
      <c r="BE12" s="23">
        <f>JanMonthlyReport5[[#This Row],[Per Day Salary]]*JanMonthlyReport5[[#This Row],[Absent]]</f>
        <v>2064.516129032258</v>
      </c>
      <c r="BF12" s="26">
        <f>JanMonthlyReport5[[#This Row],[Basic Salary]]-JanMonthlyReport5[[#This Row],[Deduction]]</f>
        <v>13935.483870967742</v>
      </c>
      <c r="BG12" s="21"/>
      <c r="BH12" s="43"/>
    </row>
    <row r="13" spans="1:60" x14ac:dyDescent="0.25">
      <c r="A13"/>
      <c r="B13"/>
      <c r="E13" s="39"/>
      <c r="F13" s="24">
        <v>6</v>
      </c>
      <c r="G13" s="14" t="s">
        <v>25</v>
      </c>
      <c r="H13" s="10" t="s">
        <v>8</v>
      </c>
      <c r="I13" s="15">
        <f t="shared" si="9"/>
        <v>5</v>
      </c>
      <c r="J13" s="14" t="str">
        <f t="shared" si="10"/>
        <v>WO</v>
      </c>
      <c r="K13" s="14" t="s">
        <v>57</v>
      </c>
      <c r="L13" s="14" t="s">
        <v>57</v>
      </c>
      <c r="M13" s="14" t="s">
        <v>57</v>
      </c>
      <c r="N13" s="14" t="s">
        <v>57</v>
      </c>
      <c r="O13" s="14" t="s">
        <v>57</v>
      </c>
      <c r="P13" s="14" t="s">
        <v>57</v>
      </c>
      <c r="Q13" s="14" t="str">
        <f t="shared" si="2"/>
        <v>WO</v>
      </c>
      <c r="R13" s="14" t="s">
        <v>57</v>
      </c>
      <c r="S13" s="14" t="s">
        <v>57</v>
      </c>
      <c r="T13" s="14" t="s">
        <v>57</v>
      </c>
      <c r="U13" s="14" t="s">
        <v>57</v>
      </c>
      <c r="V13" s="14" t="s">
        <v>57</v>
      </c>
      <c r="W13" s="14" t="s">
        <v>57</v>
      </c>
      <c r="X13" s="14" t="str">
        <f t="shared" si="2"/>
        <v>WO</v>
      </c>
      <c r="Y13" s="14" t="s">
        <v>57</v>
      </c>
      <c r="Z13" s="14" t="s">
        <v>57</v>
      </c>
      <c r="AA13" s="14" t="s">
        <v>57</v>
      </c>
      <c r="AB13" s="14" t="s">
        <v>57</v>
      </c>
      <c r="AC13" s="14" t="s">
        <v>57</v>
      </c>
      <c r="AD13" s="14" t="s">
        <v>57</v>
      </c>
      <c r="AE13" s="14" t="str">
        <f t="shared" si="2"/>
        <v>WO</v>
      </c>
      <c r="AF13" s="14" t="s">
        <v>57</v>
      </c>
      <c r="AG13" s="14" t="s">
        <v>57</v>
      </c>
      <c r="AH13" s="14" t="s">
        <v>57</v>
      </c>
      <c r="AI13" s="14" t="s">
        <v>57</v>
      </c>
      <c r="AJ13" s="14" t="s">
        <v>57</v>
      </c>
      <c r="AK13" s="14" t="s">
        <v>57</v>
      </c>
      <c r="AL13" s="14" t="str">
        <f t="shared" si="2"/>
        <v>WO</v>
      </c>
      <c r="AM13" s="14" t="s">
        <v>58</v>
      </c>
      <c r="AN13" s="32" t="s">
        <v>58</v>
      </c>
      <c r="AO13" s="39"/>
      <c r="AR13" s="43"/>
      <c r="AS13" s="22">
        <v>6</v>
      </c>
      <c r="AT13" s="14" t="s">
        <v>25</v>
      </c>
      <c r="AU13" s="14" t="str">
        <f t="shared" si="3"/>
        <v>March</v>
      </c>
      <c r="AV13" s="10" t="s">
        <v>8</v>
      </c>
      <c r="AW13" s="22">
        <f t="shared" si="4"/>
        <v>24</v>
      </c>
      <c r="AX13" s="22">
        <f t="shared" si="5"/>
        <v>0</v>
      </c>
      <c r="AY13" s="22">
        <f t="shared" si="6"/>
        <v>2</v>
      </c>
      <c r="AZ13" s="22">
        <f t="shared" si="7"/>
        <v>5</v>
      </c>
      <c r="BA13" s="22">
        <f t="shared" si="8"/>
        <v>31</v>
      </c>
      <c r="BB13" s="22">
        <f>JanMonthlyReport5[[#This Row],[Days]]-JanMonthlyReport5[[#This Row],[Absent]]</f>
        <v>31</v>
      </c>
      <c r="BC13" s="23">
        <v>12000</v>
      </c>
      <c r="BD13" s="23">
        <f>JanMonthlyReport5[[#This Row],[Basic Salary]]/JanMonthlyReport5[[#This Row],[Days]]</f>
        <v>387.09677419354841</v>
      </c>
      <c r="BE13" s="23">
        <f>JanMonthlyReport5[[#This Row],[Per Day Salary]]*JanMonthlyReport5[[#This Row],[Absent]]</f>
        <v>0</v>
      </c>
      <c r="BF13" s="26">
        <f>JanMonthlyReport5[[#This Row],[Basic Salary]]-JanMonthlyReport5[[#This Row],[Deduction]]</f>
        <v>12000</v>
      </c>
      <c r="BG13" s="21"/>
      <c r="BH13" s="43"/>
    </row>
    <row r="14" spans="1:60" x14ac:dyDescent="0.25">
      <c r="A14"/>
      <c r="B14"/>
      <c r="E14" s="39"/>
      <c r="F14" s="24">
        <v>7</v>
      </c>
      <c r="G14" s="14" t="s">
        <v>26</v>
      </c>
      <c r="H14" s="10" t="s">
        <v>9</v>
      </c>
      <c r="I14" s="15">
        <f t="shared" si="9"/>
        <v>5</v>
      </c>
      <c r="J14" s="14" t="str">
        <f t="shared" si="10"/>
        <v>WO</v>
      </c>
      <c r="K14" s="14" t="s">
        <v>57</v>
      </c>
      <c r="L14" s="14" t="s">
        <v>57</v>
      </c>
      <c r="M14" s="14" t="s">
        <v>57</v>
      </c>
      <c r="N14" s="14" t="s">
        <v>57</v>
      </c>
      <c r="O14" s="14" t="s">
        <v>57</v>
      </c>
      <c r="P14" s="14" t="s">
        <v>57</v>
      </c>
      <c r="Q14" s="14" t="str">
        <f t="shared" si="2"/>
        <v>WO</v>
      </c>
      <c r="R14" s="14" t="s">
        <v>57</v>
      </c>
      <c r="S14" s="14" t="s">
        <v>57</v>
      </c>
      <c r="T14" s="14" t="s">
        <v>57</v>
      </c>
      <c r="U14" s="14" t="s">
        <v>57</v>
      </c>
      <c r="V14" s="14" t="s">
        <v>57</v>
      </c>
      <c r="W14" s="14" t="s">
        <v>57</v>
      </c>
      <c r="X14" s="14" t="str">
        <f t="shared" si="2"/>
        <v>WO</v>
      </c>
      <c r="Y14" s="14" t="s">
        <v>57</v>
      </c>
      <c r="Z14" s="14" t="s">
        <v>57</v>
      </c>
      <c r="AA14" s="14" t="s">
        <v>57</v>
      </c>
      <c r="AB14" s="14" t="s">
        <v>57</v>
      </c>
      <c r="AC14" s="14" t="s">
        <v>57</v>
      </c>
      <c r="AD14" s="14" t="s">
        <v>57</v>
      </c>
      <c r="AE14" s="14" t="str">
        <f t="shared" si="2"/>
        <v>WO</v>
      </c>
      <c r="AF14" s="14" t="s">
        <v>57</v>
      </c>
      <c r="AG14" s="14" t="s">
        <v>57</v>
      </c>
      <c r="AH14" s="14" t="s">
        <v>57</v>
      </c>
      <c r="AI14" s="14" t="s">
        <v>57</v>
      </c>
      <c r="AJ14" s="14" t="s">
        <v>57</v>
      </c>
      <c r="AK14" s="14" t="s">
        <v>57</v>
      </c>
      <c r="AL14" s="14" t="str">
        <f t="shared" si="2"/>
        <v>WO</v>
      </c>
      <c r="AM14" s="14" t="s">
        <v>58</v>
      </c>
      <c r="AN14" s="32" t="s">
        <v>58</v>
      </c>
      <c r="AO14" s="39"/>
      <c r="AR14" s="43"/>
      <c r="AS14" s="22">
        <v>7</v>
      </c>
      <c r="AT14" s="14" t="s">
        <v>26</v>
      </c>
      <c r="AU14" s="14" t="str">
        <f t="shared" si="3"/>
        <v>March</v>
      </c>
      <c r="AV14" s="10" t="s">
        <v>9</v>
      </c>
      <c r="AW14" s="22">
        <f t="shared" si="4"/>
        <v>24</v>
      </c>
      <c r="AX14" s="22">
        <f t="shared" si="5"/>
        <v>0</v>
      </c>
      <c r="AY14" s="22">
        <f t="shared" si="6"/>
        <v>2</v>
      </c>
      <c r="AZ14" s="22">
        <f t="shared" si="7"/>
        <v>5</v>
      </c>
      <c r="BA14" s="22">
        <f t="shared" si="8"/>
        <v>31</v>
      </c>
      <c r="BB14" s="22">
        <f>JanMonthlyReport5[[#This Row],[Days]]-JanMonthlyReport5[[#This Row],[Absent]]</f>
        <v>31</v>
      </c>
      <c r="BC14" s="23">
        <v>13000</v>
      </c>
      <c r="BD14" s="23">
        <f>JanMonthlyReport5[[#This Row],[Basic Salary]]/JanMonthlyReport5[[#This Row],[Days]]</f>
        <v>419.35483870967744</v>
      </c>
      <c r="BE14" s="23">
        <f>JanMonthlyReport5[[#This Row],[Per Day Salary]]*JanMonthlyReport5[[#This Row],[Absent]]</f>
        <v>0</v>
      </c>
      <c r="BF14" s="26">
        <f>JanMonthlyReport5[[#This Row],[Basic Salary]]-JanMonthlyReport5[[#This Row],[Deduction]]</f>
        <v>13000</v>
      </c>
      <c r="BG14" s="21"/>
      <c r="BH14" s="43"/>
    </row>
    <row r="15" spans="1:60" x14ac:dyDescent="0.25">
      <c r="A15"/>
      <c r="B15"/>
      <c r="E15" s="39"/>
      <c r="F15" s="24">
        <v>8</v>
      </c>
      <c r="G15" s="14" t="s">
        <v>27</v>
      </c>
      <c r="H15" s="10" t="s">
        <v>11</v>
      </c>
      <c r="I15" s="15">
        <f t="shared" si="9"/>
        <v>5</v>
      </c>
      <c r="J15" s="14" t="str">
        <f t="shared" si="10"/>
        <v>WO</v>
      </c>
      <c r="K15" s="14" t="s">
        <v>57</v>
      </c>
      <c r="L15" s="14" t="s">
        <v>57</v>
      </c>
      <c r="M15" s="14" t="s">
        <v>57</v>
      </c>
      <c r="N15" s="14" t="s">
        <v>57</v>
      </c>
      <c r="O15" s="14" t="s">
        <v>57</v>
      </c>
      <c r="P15" s="14" t="s">
        <v>57</v>
      </c>
      <c r="Q15" s="14" t="str">
        <f t="shared" si="2"/>
        <v>WO</v>
      </c>
      <c r="R15" s="14" t="s">
        <v>57</v>
      </c>
      <c r="S15" s="14" t="s">
        <v>57</v>
      </c>
      <c r="T15" s="14" t="s">
        <v>57</v>
      </c>
      <c r="U15" s="14" t="s">
        <v>57</v>
      </c>
      <c r="V15" s="14" t="s">
        <v>57</v>
      </c>
      <c r="W15" s="14" t="s">
        <v>57</v>
      </c>
      <c r="X15" s="14" t="str">
        <f t="shared" si="2"/>
        <v>WO</v>
      </c>
      <c r="Y15" s="14" t="s">
        <v>57</v>
      </c>
      <c r="Z15" s="14" t="s">
        <v>57</v>
      </c>
      <c r="AA15" s="14" t="s">
        <v>57</v>
      </c>
      <c r="AB15" s="14" t="s">
        <v>57</v>
      </c>
      <c r="AC15" s="14" t="s">
        <v>57</v>
      </c>
      <c r="AD15" s="14" t="s">
        <v>57</v>
      </c>
      <c r="AE15" s="14" t="str">
        <f t="shared" si="2"/>
        <v>WO</v>
      </c>
      <c r="AF15" s="14" t="s">
        <v>57</v>
      </c>
      <c r="AG15" s="14" t="s">
        <v>57</v>
      </c>
      <c r="AH15" s="14" t="s">
        <v>57</v>
      </c>
      <c r="AI15" s="14" t="s">
        <v>57</v>
      </c>
      <c r="AJ15" s="14" t="s">
        <v>57</v>
      </c>
      <c r="AK15" s="14" t="s">
        <v>57</v>
      </c>
      <c r="AL15" s="14" t="str">
        <f t="shared" si="2"/>
        <v>WO</v>
      </c>
      <c r="AM15" s="14" t="s">
        <v>58</v>
      </c>
      <c r="AN15" s="32" t="s">
        <v>58</v>
      </c>
      <c r="AO15" s="39"/>
      <c r="AR15" s="43"/>
      <c r="AS15" s="22">
        <v>8</v>
      </c>
      <c r="AT15" s="14" t="s">
        <v>27</v>
      </c>
      <c r="AU15" s="14" t="str">
        <f t="shared" si="3"/>
        <v>March</v>
      </c>
      <c r="AV15" s="10" t="s">
        <v>11</v>
      </c>
      <c r="AW15" s="22">
        <f t="shared" si="4"/>
        <v>24</v>
      </c>
      <c r="AX15" s="22">
        <f t="shared" si="5"/>
        <v>0</v>
      </c>
      <c r="AY15" s="22">
        <f t="shared" si="6"/>
        <v>2</v>
      </c>
      <c r="AZ15" s="22">
        <f t="shared" si="7"/>
        <v>5</v>
      </c>
      <c r="BA15" s="22">
        <f t="shared" si="8"/>
        <v>31</v>
      </c>
      <c r="BB15" s="22">
        <f>JanMonthlyReport5[[#This Row],[Days]]-JanMonthlyReport5[[#This Row],[Absent]]</f>
        <v>31</v>
      </c>
      <c r="BC15" s="23">
        <v>8000</v>
      </c>
      <c r="BD15" s="23">
        <f>JanMonthlyReport5[[#This Row],[Basic Salary]]/JanMonthlyReport5[[#This Row],[Days]]</f>
        <v>258.06451612903226</v>
      </c>
      <c r="BE15" s="23">
        <f>JanMonthlyReport5[[#This Row],[Per Day Salary]]*JanMonthlyReport5[[#This Row],[Absent]]</f>
        <v>0</v>
      </c>
      <c r="BF15" s="26">
        <f>JanMonthlyReport5[[#This Row],[Basic Salary]]-JanMonthlyReport5[[#This Row],[Deduction]]</f>
        <v>8000</v>
      </c>
      <c r="BG15" s="21"/>
      <c r="BH15" s="43"/>
    </row>
    <row r="16" spans="1:60" x14ac:dyDescent="0.25">
      <c r="A16"/>
      <c r="B16"/>
      <c r="E16" s="39"/>
      <c r="F16" s="24">
        <v>9</v>
      </c>
      <c r="G16" s="14" t="s">
        <v>28</v>
      </c>
      <c r="H16" s="10" t="s">
        <v>10</v>
      </c>
      <c r="I16" s="15">
        <f t="shared" si="9"/>
        <v>5</v>
      </c>
      <c r="J16" s="14" t="str">
        <f t="shared" si="10"/>
        <v>WO</v>
      </c>
      <c r="K16" s="14" t="s">
        <v>57</v>
      </c>
      <c r="L16" s="14" t="s">
        <v>57</v>
      </c>
      <c r="M16" s="14" t="s">
        <v>57</v>
      </c>
      <c r="N16" s="14" t="s">
        <v>57</v>
      </c>
      <c r="O16" s="14" t="s">
        <v>59</v>
      </c>
      <c r="P16" s="14" t="s">
        <v>57</v>
      </c>
      <c r="Q16" s="14" t="str">
        <f t="shared" si="2"/>
        <v>WO</v>
      </c>
      <c r="R16" s="14" t="s">
        <v>57</v>
      </c>
      <c r="S16" s="14" t="s">
        <v>57</v>
      </c>
      <c r="T16" s="14" t="s">
        <v>57</v>
      </c>
      <c r="U16" s="14" t="s">
        <v>57</v>
      </c>
      <c r="V16" s="14" t="s">
        <v>59</v>
      </c>
      <c r="W16" s="14" t="s">
        <v>57</v>
      </c>
      <c r="X16" s="14" t="str">
        <f t="shared" si="2"/>
        <v>WO</v>
      </c>
      <c r="Y16" s="14" t="s">
        <v>57</v>
      </c>
      <c r="Z16" s="14" t="s">
        <v>57</v>
      </c>
      <c r="AA16" s="14" t="s">
        <v>57</v>
      </c>
      <c r="AB16" s="14" t="s">
        <v>57</v>
      </c>
      <c r="AC16" s="14" t="s">
        <v>57</v>
      </c>
      <c r="AD16" s="14" t="s">
        <v>57</v>
      </c>
      <c r="AE16" s="14" t="str">
        <f t="shared" ref="Z16:AN24" si="11">IF(AE$6 = "sun","WO","")</f>
        <v>WO</v>
      </c>
      <c r="AF16" s="14" t="s">
        <v>57</v>
      </c>
      <c r="AG16" s="14" t="s">
        <v>57</v>
      </c>
      <c r="AH16" s="14" t="s">
        <v>57</v>
      </c>
      <c r="AI16" s="14" t="s">
        <v>57</v>
      </c>
      <c r="AJ16" s="14" t="s">
        <v>59</v>
      </c>
      <c r="AK16" s="14" t="s">
        <v>57</v>
      </c>
      <c r="AL16" s="14" t="str">
        <f t="shared" si="11"/>
        <v>WO</v>
      </c>
      <c r="AM16" s="14" t="s">
        <v>58</v>
      </c>
      <c r="AN16" s="32" t="s">
        <v>58</v>
      </c>
      <c r="AO16" s="39"/>
      <c r="AR16" s="43"/>
      <c r="AS16" s="22">
        <v>9</v>
      </c>
      <c r="AT16" s="14" t="s">
        <v>28</v>
      </c>
      <c r="AU16" s="14" t="str">
        <f t="shared" si="3"/>
        <v>March</v>
      </c>
      <c r="AV16" s="10" t="s">
        <v>10</v>
      </c>
      <c r="AW16" s="22">
        <f t="shared" si="4"/>
        <v>21</v>
      </c>
      <c r="AX16" s="22">
        <f t="shared" si="5"/>
        <v>3</v>
      </c>
      <c r="AY16" s="22">
        <f t="shared" si="6"/>
        <v>2</v>
      </c>
      <c r="AZ16" s="22">
        <f t="shared" si="7"/>
        <v>5</v>
      </c>
      <c r="BA16" s="22">
        <f t="shared" si="8"/>
        <v>31</v>
      </c>
      <c r="BB16" s="22">
        <f>JanMonthlyReport5[[#This Row],[Days]]-JanMonthlyReport5[[#This Row],[Absent]]</f>
        <v>28</v>
      </c>
      <c r="BC16" s="23">
        <v>10000</v>
      </c>
      <c r="BD16" s="23">
        <f>JanMonthlyReport5[[#This Row],[Basic Salary]]/JanMonthlyReport5[[#This Row],[Days]]</f>
        <v>322.58064516129031</v>
      </c>
      <c r="BE16" s="23">
        <f>JanMonthlyReport5[[#This Row],[Per Day Salary]]*JanMonthlyReport5[[#This Row],[Absent]]</f>
        <v>967.74193548387098</v>
      </c>
      <c r="BF16" s="26">
        <f>JanMonthlyReport5[[#This Row],[Basic Salary]]-JanMonthlyReport5[[#This Row],[Deduction]]</f>
        <v>9032.2580645161288</v>
      </c>
      <c r="BG16" s="21"/>
      <c r="BH16" s="43"/>
    </row>
    <row r="17" spans="1:60" x14ac:dyDescent="0.25">
      <c r="A17"/>
      <c r="B17"/>
      <c r="E17" s="39"/>
      <c r="F17" s="24">
        <v>10</v>
      </c>
      <c r="G17" s="14" t="s">
        <v>29</v>
      </c>
      <c r="H17" s="10" t="s">
        <v>12</v>
      </c>
      <c r="I17" s="15">
        <f t="shared" si="9"/>
        <v>5</v>
      </c>
      <c r="J17" s="14" t="str">
        <f t="shared" si="10"/>
        <v>WO</v>
      </c>
      <c r="K17" s="14" t="s">
        <v>57</v>
      </c>
      <c r="L17" s="14" t="s">
        <v>57</v>
      </c>
      <c r="M17" s="14" t="s">
        <v>57</v>
      </c>
      <c r="N17" s="14" t="s">
        <v>57</v>
      </c>
      <c r="O17" s="14" t="s">
        <v>57</v>
      </c>
      <c r="P17" s="14" t="s">
        <v>57</v>
      </c>
      <c r="Q17" s="14" t="str">
        <f t="shared" si="10"/>
        <v>WO</v>
      </c>
      <c r="R17" s="14" t="s">
        <v>57</v>
      </c>
      <c r="S17" s="14" t="s">
        <v>57</v>
      </c>
      <c r="T17" s="14" t="s">
        <v>57</v>
      </c>
      <c r="U17" s="14" t="s">
        <v>57</v>
      </c>
      <c r="V17" s="14" t="s">
        <v>57</v>
      </c>
      <c r="W17" s="14" t="s">
        <v>57</v>
      </c>
      <c r="X17" s="14" t="str">
        <f t="shared" si="10"/>
        <v>WO</v>
      </c>
      <c r="Y17" s="14" t="s">
        <v>57</v>
      </c>
      <c r="Z17" s="14" t="s">
        <v>57</v>
      </c>
      <c r="AA17" s="14" t="s">
        <v>57</v>
      </c>
      <c r="AB17" s="14" t="s">
        <v>57</v>
      </c>
      <c r="AC17" s="14" t="s">
        <v>57</v>
      </c>
      <c r="AD17" s="14" t="s">
        <v>57</v>
      </c>
      <c r="AE17" s="14" t="str">
        <f t="shared" si="11"/>
        <v>WO</v>
      </c>
      <c r="AF17" s="14" t="s">
        <v>57</v>
      </c>
      <c r="AG17" s="14" t="s">
        <v>57</v>
      </c>
      <c r="AH17" s="14" t="s">
        <v>57</v>
      </c>
      <c r="AI17" s="14" t="s">
        <v>57</v>
      </c>
      <c r="AJ17" s="14" t="s">
        <v>57</v>
      </c>
      <c r="AK17" s="14" t="s">
        <v>57</v>
      </c>
      <c r="AL17" s="14" t="str">
        <f t="shared" si="11"/>
        <v>WO</v>
      </c>
      <c r="AM17" s="14" t="s">
        <v>58</v>
      </c>
      <c r="AN17" s="32" t="s">
        <v>58</v>
      </c>
      <c r="AO17" s="39"/>
      <c r="AR17" s="43"/>
      <c r="AS17" s="22">
        <v>10</v>
      </c>
      <c r="AT17" s="14" t="s">
        <v>29</v>
      </c>
      <c r="AU17" s="14" t="str">
        <f t="shared" si="3"/>
        <v>March</v>
      </c>
      <c r="AV17" s="10" t="s">
        <v>12</v>
      </c>
      <c r="AW17" s="22">
        <f t="shared" si="4"/>
        <v>24</v>
      </c>
      <c r="AX17" s="22">
        <f t="shared" si="5"/>
        <v>0</v>
      </c>
      <c r="AY17" s="22">
        <f t="shared" si="6"/>
        <v>2</v>
      </c>
      <c r="AZ17" s="22">
        <f t="shared" si="7"/>
        <v>5</v>
      </c>
      <c r="BA17" s="22">
        <f t="shared" si="8"/>
        <v>31</v>
      </c>
      <c r="BB17" s="22">
        <f>JanMonthlyReport5[[#This Row],[Days]]-JanMonthlyReport5[[#This Row],[Absent]]</f>
        <v>31</v>
      </c>
      <c r="BC17" s="23">
        <v>13000</v>
      </c>
      <c r="BD17" s="23">
        <f>JanMonthlyReport5[[#This Row],[Basic Salary]]/JanMonthlyReport5[[#This Row],[Days]]</f>
        <v>419.35483870967744</v>
      </c>
      <c r="BE17" s="23">
        <f>JanMonthlyReport5[[#This Row],[Per Day Salary]]*JanMonthlyReport5[[#This Row],[Absent]]</f>
        <v>0</v>
      </c>
      <c r="BF17" s="26">
        <f>JanMonthlyReport5[[#This Row],[Basic Salary]]-JanMonthlyReport5[[#This Row],[Deduction]]</f>
        <v>13000</v>
      </c>
      <c r="BG17" s="21"/>
      <c r="BH17" s="43"/>
    </row>
    <row r="18" spans="1:60" x14ac:dyDescent="0.25">
      <c r="A18"/>
      <c r="B18"/>
      <c r="E18" s="39"/>
      <c r="F18" s="24">
        <v>11</v>
      </c>
      <c r="G18" s="14" t="s">
        <v>30</v>
      </c>
      <c r="H18" s="10" t="s">
        <v>13</v>
      </c>
      <c r="I18" s="15">
        <f t="shared" si="9"/>
        <v>5</v>
      </c>
      <c r="J18" s="14" t="str">
        <f t="shared" si="10"/>
        <v>WO</v>
      </c>
      <c r="K18" s="14" t="s">
        <v>57</v>
      </c>
      <c r="L18" s="14" t="s">
        <v>59</v>
      </c>
      <c r="M18" s="14" t="s">
        <v>57</v>
      </c>
      <c r="N18" s="14" t="s">
        <v>57</v>
      </c>
      <c r="O18" s="14" t="s">
        <v>57</v>
      </c>
      <c r="P18" s="14" t="s">
        <v>57</v>
      </c>
      <c r="Q18" s="14" t="str">
        <f t="shared" si="10"/>
        <v>WO</v>
      </c>
      <c r="R18" s="14" t="s">
        <v>57</v>
      </c>
      <c r="S18" s="14" t="s">
        <v>59</v>
      </c>
      <c r="T18" s="14" t="s">
        <v>57</v>
      </c>
      <c r="U18" s="14" t="s">
        <v>57</v>
      </c>
      <c r="V18" s="14" t="s">
        <v>57</v>
      </c>
      <c r="W18" s="14" t="s">
        <v>57</v>
      </c>
      <c r="X18" s="14" t="str">
        <f t="shared" si="10"/>
        <v>WO</v>
      </c>
      <c r="Y18" s="14" t="s">
        <v>57</v>
      </c>
      <c r="Z18" s="14" t="s">
        <v>59</v>
      </c>
      <c r="AA18" s="14" t="s">
        <v>57</v>
      </c>
      <c r="AB18" s="14" t="s">
        <v>57</v>
      </c>
      <c r="AC18" s="14" t="s">
        <v>57</v>
      </c>
      <c r="AD18" s="14" t="s">
        <v>57</v>
      </c>
      <c r="AE18" s="14" t="str">
        <f t="shared" si="11"/>
        <v>WO</v>
      </c>
      <c r="AF18" s="14" t="s">
        <v>57</v>
      </c>
      <c r="AG18" s="14" t="s">
        <v>59</v>
      </c>
      <c r="AH18" s="14" t="s">
        <v>57</v>
      </c>
      <c r="AI18" s="14" t="s">
        <v>57</v>
      </c>
      <c r="AJ18" s="14" t="s">
        <v>57</v>
      </c>
      <c r="AK18" s="14" t="s">
        <v>57</v>
      </c>
      <c r="AL18" s="14" t="str">
        <f t="shared" si="11"/>
        <v>WO</v>
      </c>
      <c r="AM18" s="14" t="s">
        <v>58</v>
      </c>
      <c r="AN18" s="32" t="s">
        <v>58</v>
      </c>
      <c r="AO18" s="39"/>
      <c r="AR18" s="43"/>
      <c r="AS18" s="22">
        <v>11</v>
      </c>
      <c r="AT18" s="14" t="s">
        <v>30</v>
      </c>
      <c r="AU18" s="14" t="str">
        <f t="shared" si="3"/>
        <v>March</v>
      </c>
      <c r="AV18" s="10" t="s">
        <v>13</v>
      </c>
      <c r="AW18" s="22">
        <f t="shared" si="4"/>
        <v>20</v>
      </c>
      <c r="AX18" s="22">
        <f t="shared" si="5"/>
        <v>4</v>
      </c>
      <c r="AY18" s="22">
        <f t="shared" si="6"/>
        <v>2</v>
      </c>
      <c r="AZ18" s="22">
        <f t="shared" si="7"/>
        <v>5</v>
      </c>
      <c r="BA18" s="22">
        <f t="shared" si="8"/>
        <v>31</v>
      </c>
      <c r="BB18" s="22">
        <f>JanMonthlyReport5[[#This Row],[Days]]-JanMonthlyReport5[[#This Row],[Absent]]</f>
        <v>27</v>
      </c>
      <c r="BC18" s="23">
        <v>10000</v>
      </c>
      <c r="BD18" s="23">
        <f>JanMonthlyReport5[[#This Row],[Basic Salary]]/JanMonthlyReport5[[#This Row],[Days]]</f>
        <v>322.58064516129031</v>
      </c>
      <c r="BE18" s="23">
        <f>JanMonthlyReport5[[#This Row],[Per Day Salary]]*JanMonthlyReport5[[#This Row],[Absent]]</f>
        <v>1290.3225806451612</v>
      </c>
      <c r="BF18" s="26">
        <f>JanMonthlyReport5[[#This Row],[Basic Salary]]-JanMonthlyReport5[[#This Row],[Deduction]]</f>
        <v>8709.677419354839</v>
      </c>
      <c r="BG18" s="21"/>
      <c r="BH18" s="43"/>
    </row>
    <row r="19" spans="1:60" x14ac:dyDescent="0.25">
      <c r="A19"/>
      <c r="B19"/>
      <c r="E19" s="39"/>
      <c r="F19" s="24">
        <v>12</v>
      </c>
      <c r="G19" s="14" t="s">
        <v>31</v>
      </c>
      <c r="H19" s="10" t="s">
        <v>14</v>
      </c>
      <c r="I19" s="15">
        <f t="shared" si="9"/>
        <v>5</v>
      </c>
      <c r="J19" s="14" t="str">
        <f t="shared" si="10"/>
        <v>WO</v>
      </c>
      <c r="K19" s="14" t="s">
        <v>57</v>
      </c>
      <c r="L19" s="14" t="s">
        <v>57</v>
      </c>
      <c r="M19" s="14" t="s">
        <v>57</v>
      </c>
      <c r="N19" s="14" t="s">
        <v>57</v>
      </c>
      <c r="O19" s="14" t="s">
        <v>57</v>
      </c>
      <c r="P19" s="14" t="s">
        <v>57</v>
      </c>
      <c r="Q19" s="14" t="str">
        <f t="shared" si="10"/>
        <v>WO</v>
      </c>
      <c r="R19" s="14" t="s">
        <v>57</v>
      </c>
      <c r="S19" s="14" t="s">
        <v>57</v>
      </c>
      <c r="T19" s="14" t="s">
        <v>57</v>
      </c>
      <c r="U19" s="14" t="s">
        <v>57</v>
      </c>
      <c r="V19" s="14" t="s">
        <v>57</v>
      </c>
      <c r="W19" s="14" t="s">
        <v>57</v>
      </c>
      <c r="X19" s="14" t="str">
        <f t="shared" si="10"/>
        <v>WO</v>
      </c>
      <c r="Y19" s="14" t="s">
        <v>57</v>
      </c>
      <c r="Z19" s="14" t="s">
        <v>57</v>
      </c>
      <c r="AA19" s="14" t="s">
        <v>57</v>
      </c>
      <c r="AB19" s="14" t="s">
        <v>57</v>
      </c>
      <c r="AC19" s="14" t="s">
        <v>57</v>
      </c>
      <c r="AD19" s="14" t="s">
        <v>57</v>
      </c>
      <c r="AE19" s="14" t="str">
        <f t="shared" si="11"/>
        <v>WO</v>
      </c>
      <c r="AF19" s="14" t="s">
        <v>57</v>
      </c>
      <c r="AG19" s="14" t="s">
        <v>57</v>
      </c>
      <c r="AH19" s="14" t="s">
        <v>57</v>
      </c>
      <c r="AI19" s="14" t="s">
        <v>57</v>
      </c>
      <c r="AJ19" s="14" t="s">
        <v>57</v>
      </c>
      <c r="AK19" s="14" t="s">
        <v>57</v>
      </c>
      <c r="AL19" s="14" t="str">
        <f t="shared" si="11"/>
        <v>WO</v>
      </c>
      <c r="AM19" s="14" t="s">
        <v>58</v>
      </c>
      <c r="AN19" s="32" t="s">
        <v>58</v>
      </c>
      <c r="AO19" s="39"/>
      <c r="AR19" s="43"/>
      <c r="AS19" s="22">
        <v>12</v>
      </c>
      <c r="AT19" s="14" t="s">
        <v>31</v>
      </c>
      <c r="AU19" s="14" t="str">
        <f t="shared" si="3"/>
        <v>March</v>
      </c>
      <c r="AV19" s="10" t="s">
        <v>14</v>
      </c>
      <c r="AW19" s="22">
        <f t="shared" si="4"/>
        <v>24</v>
      </c>
      <c r="AX19" s="22">
        <f t="shared" si="5"/>
        <v>0</v>
      </c>
      <c r="AY19" s="22">
        <f t="shared" si="6"/>
        <v>2</v>
      </c>
      <c r="AZ19" s="22">
        <f t="shared" si="7"/>
        <v>5</v>
      </c>
      <c r="BA19" s="22">
        <f t="shared" si="8"/>
        <v>31</v>
      </c>
      <c r="BB19" s="22">
        <f>JanMonthlyReport5[[#This Row],[Days]]-JanMonthlyReport5[[#This Row],[Absent]]</f>
        <v>31</v>
      </c>
      <c r="BC19" s="23">
        <v>9000</v>
      </c>
      <c r="BD19" s="23">
        <f>JanMonthlyReport5[[#This Row],[Basic Salary]]/JanMonthlyReport5[[#This Row],[Days]]</f>
        <v>290.32258064516128</v>
      </c>
      <c r="BE19" s="23">
        <f>JanMonthlyReport5[[#This Row],[Per Day Salary]]*JanMonthlyReport5[[#This Row],[Absent]]</f>
        <v>0</v>
      </c>
      <c r="BF19" s="26">
        <f>JanMonthlyReport5[[#This Row],[Basic Salary]]-JanMonthlyReport5[[#This Row],[Deduction]]</f>
        <v>9000</v>
      </c>
      <c r="BG19" s="21"/>
      <c r="BH19" s="43"/>
    </row>
    <row r="20" spans="1:60" x14ac:dyDescent="0.25">
      <c r="A20"/>
      <c r="B20"/>
      <c r="E20" s="39"/>
      <c r="F20" s="24">
        <v>13</v>
      </c>
      <c r="G20" s="14" t="s">
        <v>32</v>
      </c>
      <c r="H20" s="10" t="s">
        <v>15</v>
      </c>
      <c r="I20" s="15">
        <f t="shared" si="9"/>
        <v>5</v>
      </c>
      <c r="J20" s="14" t="str">
        <f t="shared" si="10"/>
        <v>WO</v>
      </c>
      <c r="K20" s="14" t="s">
        <v>57</v>
      </c>
      <c r="L20" s="14" t="s">
        <v>57</v>
      </c>
      <c r="M20" s="14" t="s">
        <v>57</v>
      </c>
      <c r="N20" s="14" t="s">
        <v>57</v>
      </c>
      <c r="O20" s="14" t="s">
        <v>57</v>
      </c>
      <c r="P20" s="14" t="s">
        <v>57</v>
      </c>
      <c r="Q20" s="14" t="str">
        <f t="shared" si="10"/>
        <v>WO</v>
      </c>
      <c r="R20" s="14" t="s">
        <v>57</v>
      </c>
      <c r="S20" s="14" t="s">
        <v>57</v>
      </c>
      <c r="T20" s="14" t="s">
        <v>57</v>
      </c>
      <c r="U20" s="14" t="s">
        <v>57</v>
      </c>
      <c r="V20" s="14" t="s">
        <v>57</v>
      </c>
      <c r="W20" s="14" t="s">
        <v>57</v>
      </c>
      <c r="X20" s="14" t="str">
        <f t="shared" si="10"/>
        <v>WO</v>
      </c>
      <c r="Y20" s="14" t="s">
        <v>57</v>
      </c>
      <c r="Z20" s="14" t="s">
        <v>57</v>
      </c>
      <c r="AA20" s="14" t="s">
        <v>57</v>
      </c>
      <c r="AB20" s="14" t="s">
        <v>57</v>
      </c>
      <c r="AC20" s="14" t="s">
        <v>57</v>
      </c>
      <c r="AD20" s="14" t="s">
        <v>57</v>
      </c>
      <c r="AE20" s="14" t="str">
        <f t="shared" si="11"/>
        <v>WO</v>
      </c>
      <c r="AF20" s="14" t="s">
        <v>57</v>
      </c>
      <c r="AG20" s="14" t="s">
        <v>57</v>
      </c>
      <c r="AH20" s="14" t="s">
        <v>57</v>
      </c>
      <c r="AI20" s="14" t="s">
        <v>57</v>
      </c>
      <c r="AJ20" s="14" t="s">
        <v>57</v>
      </c>
      <c r="AK20" s="14" t="s">
        <v>57</v>
      </c>
      <c r="AL20" s="14" t="str">
        <f t="shared" si="11"/>
        <v>WO</v>
      </c>
      <c r="AM20" s="14" t="s">
        <v>58</v>
      </c>
      <c r="AN20" s="32" t="s">
        <v>58</v>
      </c>
      <c r="AO20" s="39"/>
      <c r="AR20" s="43"/>
      <c r="AS20" s="22">
        <v>13</v>
      </c>
      <c r="AT20" s="14" t="s">
        <v>32</v>
      </c>
      <c r="AU20" s="14" t="str">
        <f t="shared" si="3"/>
        <v>March</v>
      </c>
      <c r="AV20" s="10" t="s">
        <v>15</v>
      </c>
      <c r="AW20" s="22">
        <f t="shared" si="4"/>
        <v>24</v>
      </c>
      <c r="AX20" s="22">
        <f t="shared" si="5"/>
        <v>0</v>
      </c>
      <c r="AY20" s="22">
        <f t="shared" si="6"/>
        <v>2</v>
      </c>
      <c r="AZ20" s="22">
        <f t="shared" si="7"/>
        <v>5</v>
      </c>
      <c r="BA20" s="22">
        <f t="shared" si="8"/>
        <v>31</v>
      </c>
      <c r="BB20" s="22">
        <f>JanMonthlyReport5[[#This Row],[Days]]-JanMonthlyReport5[[#This Row],[Absent]]</f>
        <v>31</v>
      </c>
      <c r="BC20" s="23">
        <v>10000</v>
      </c>
      <c r="BD20" s="23">
        <f>JanMonthlyReport5[[#This Row],[Basic Salary]]/JanMonthlyReport5[[#This Row],[Days]]</f>
        <v>322.58064516129031</v>
      </c>
      <c r="BE20" s="23">
        <f>JanMonthlyReport5[[#This Row],[Per Day Salary]]*JanMonthlyReport5[[#This Row],[Absent]]</f>
        <v>0</v>
      </c>
      <c r="BF20" s="26">
        <f>JanMonthlyReport5[[#This Row],[Basic Salary]]-JanMonthlyReport5[[#This Row],[Deduction]]</f>
        <v>10000</v>
      </c>
      <c r="BG20" s="21"/>
      <c r="BH20" s="43"/>
    </row>
    <row r="21" spans="1:60" x14ac:dyDescent="0.25">
      <c r="A21"/>
      <c r="B21"/>
      <c r="E21" s="39"/>
      <c r="F21" s="24">
        <v>14</v>
      </c>
      <c r="G21" s="14" t="s">
        <v>33</v>
      </c>
      <c r="H21" s="10" t="s">
        <v>16</v>
      </c>
      <c r="I21" s="15">
        <f t="shared" si="9"/>
        <v>5</v>
      </c>
      <c r="J21" s="14" t="str">
        <f t="shared" si="10"/>
        <v>WO</v>
      </c>
      <c r="K21" s="14" t="s">
        <v>57</v>
      </c>
      <c r="L21" s="14" t="s">
        <v>57</v>
      </c>
      <c r="M21" s="14" t="s">
        <v>57</v>
      </c>
      <c r="N21" s="14" t="s">
        <v>57</v>
      </c>
      <c r="O21" s="14" t="s">
        <v>59</v>
      </c>
      <c r="P21" s="14" t="s">
        <v>57</v>
      </c>
      <c r="Q21" s="14" t="str">
        <f t="shared" si="10"/>
        <v>WO</v>
      </c>
      <c r="R21" s="14" t="s">
        <v>57</v>
      </c>
      <c r="S21" s="14" t="s">
        <v>57</v>
      </c>
      <c r="T21" s="14" t="s">
        <v>57</v>
      </c>
      <c r="U21" s="14" t="s">
        <v>57</v>
      </c>
      <c r="V21" s="14" t="s">
        <v>59</v>
      </c>
      <c r="W21" s="14" t="s">
        <v>57</v>
      </c>
      <c r="X21" s="14" t="str">
        <f t="shared" si="10"/>
        <v>WO</v>
      </c>
      <c r="Y21" s="14" t="s">
        <v>57</v>
      </c>
      <c r="Z21" s="14" t="s">
        <v>57</v>
      </c>
      <c r="AA21" s="14" t="s">
        <v>57</v>
      </c>
      <c r="AB21" s="14" t="s">
        <v>57</v>
      </c>
      <c r="AC21" s="14" t="s">
        <v>59</v>
      </c>
      <c r="AD21" s="14" t="s">
        <v>57</v>
      </c>
      <c r="AE21" s="14" t="str">
        <f t="shared" si="11"/>
        <v>WO</v>
      </c>
      <c r="AF21" s="14" t="s">
        <v>57</v>
      </c>
      <c r="AG21" s="14" t="s">
        <v>57</v>
      </c>
      <c r="AH21" s="14" t="s">
        <v>57</v>
      </c>
      <c r="AI21" s="14" t="s">
        <v>57</v>
      </c>
      <c r="AJ21" s="14" t="s">
        <v>59</v>
      </c>
      <c r="AK21" s="14" t="s">
        <v>57</v>
      </c>
      <c r="AL21" s="14" t="str">
        <f t="shared" si="11"/>
        <v>WO</v>
      </c>
      <c r="AM21" s="14" t="s">
        <v>58</v>
      </c>
      <c r="AN21" s="32" t="s">
        <v>58</v>
      </c>
      <c r="AO21" s="39"/>
      <c r="AR21" s="43"/>
      <c r="AS21" s="22">
        <v>14</v>
      </c>
      <c r="AT21" s="14" t="s">
        <v>33</v>
      </c>
      <c r="AU21" s="14" t="str">
        <f t="shared" si="3"/>
        <v>March</v>
      </c>
      <c r="AV21" s="10" t="s">
        <v>16</v>
      </c>
      <c r="AW21" s="22">
        <f t="shared" si="4"/>
        <v>20</v>
      </c>
      <c r="AX21" s="22">
        <f t="shared" si="5"/>
        <v>4</v>
      </c>
      <c r="AY21" s="22">
        <f t="shared" si="6"/>
        <v>2</v>
      </c>
      <c r="AZ21" s="22">
        <f t="shared" si="7"/>
        <v>5</v>
      </c>
      <c r="BA21" s="22">
        <f t="shared" si="8"/>
        <v>31</v>
      </c>
      <c r="BB21" s="22">
        <f>JanMonthlyReport5[[#This Row],[Days]]-JanMonthlyReport5[[#This Row],[Absent]]</f>
        <v>27</v>
      </c>
      <c r="BC21" s="23">
        <v>10000</v>
      </c>
      <c r="BD21" s="23">
        <f>JanMonthlyReport5[[#This Row],[Basic Salary]]/JanMonthlyReport5[[#This Row],[Days]]</f>
        <v>322.58064516129031</v>
      </c>
      <c r="BE21" s="23">
        <f>JanMonthlyReport5[[#This Row],[Per Day Salary]]*JanMonthlyReport5[[#This Row],[Absent]]</f>
        <v>1290.3225806451612</v>
      </c>
      <c r="BF21" s="26">
        <f>JanMonthlyReport5[[#This Row],[Basic Salary]]-JanMonthlyReport5[[#This Row],[Deduction]]</f>
        <v>8709.677419354839</v>
      </c>
      <c r="BG21" s="21"/>
      <c r="BH21" s="43"/>
    </row>
    <row r="22" spans="1:60" x14ac:dyDescent="0.25">
      <c r="A22"/>
      <c r="B22"/>
      <c r="E22" s="39"/>
      <c r="F22" s="24">
        <v>15</v>
      </c>
      <c r="G22" s="14" t="s">
        <v>34</v>
      </c>
      <c r="H22" s="10" t="s">
        <v>17</v>
      </c>
      <c r="I22" s="15">
        <f t="shared" si="9"/>
        <v>5</v>
      </c>
      <c r="J22" s="14" t="str">
        <f t="shared" si="10"/>
        <v>WO</v>
      </c>
      <c r="K22" s="14" t="s">
        <v>57</v>
      </c>
      <c r="L22" s="14" t="s">
        <v>57</v>
      </c>
      <c r="M22" s="14" t="s">
        <v>57</v>
      </c>
      <c r="N22" s="14" t="s">
        <v>57</v>
      </c>
      <c r="O22" s="14" t="s">
        <v>57</v>
      </c>
      <c r="P22" s="14" t="s">
        <v>57</v>
      </c>
      <c r="Q22" s="14" t="str">
        <f t="shared" si="10"/>
        <v>WO</v>
      </c>
      <c r="R22" s="14" t="s">
        <v>57</v>
      </c>
      <c r="S22" s="14" t="s">
        <v>57</v>
      </c>
      <c r="T22" s="14" t="s">
        <v>57</v>
      </c>
      <c r="U22" s="14" t="s">
        <v>57</v>
      </c>
      <c r="V22" s="14" t="s">
        <v>57</v>
      </c>
      <c r="W22" s="14" t="s">
        <v>57</v>
      </c>
      <c r="X22" s="14" t="str">
        <f t="shared" si="10"/>
        <v>WO</v>
      </c>
      <c r="Y22" s="14" t="s">
        <v>57</v>
      </c>
      <c r="Z22" s="14" t="s">
        <v>57</v>
      </c>
      <c r="AA22" s="14" t="s">
        <v>57</v>
      </c>
      <c r="AB22" s="14" t="s">
        <v>57</v>
      </c>
      <c r="AC22" s="14" t="s">
        <v>57</v>
      </c>
      <c r="AD22" s="14" t="s">
        <v>57</v>
      </c>
      <c r="AE22" s="14" t="str">
        <f t="shared" si="11"/>
        <v>WO</v>
      </c>
      <c r="AF22" s="14" t="s">
        <v>57</v>
      </c>
      <c r="AG22" s="14" t="s">
        <v>57</v>
      </c>
      <c r="AH22" s="14" t="s">
        <v>57</v>
      </c>
      <c r="AI22" s="14" t="s">
        <v>57</v>
      </c>
      <c r="AJ22" s="14" t="s">
        <v>57</v>
      </c>
      <c r="AK22" s="14" t="s">
        <v>57</v>
      </c>
      <c r="AL22" s="14" t="str">
        <f t="shared" si="11"/>
        <v>WO</v>
      </c>
      <c r="AM22" s="14" t="s">
        <v>58</v>
      </c>
      <c r="AN22" s="32" t="s">
        <v>58</v>
      </c>
      <c r="AO22" s="39"/>
      <c r="AR22" s="43"/>
      <c r="AS22" s="22">
        <v>15</v>
      </c>
      <c r="AT22" s="14" t="s">
        <v>34</v>
      </c>
      <c r="AU22" s="14" t="str">
        <f t="shared" si="3"/>
        <v>March</v>
      </c>
      <c r="AV22" s="10" t="s">
        <v>17</v>
      </c>
      <c r="AW22" s="22">
        <f t="shared" si="4"/>
        <v>24</v>
      </c>
      <c r="AX22" s="22">
        <f t="shared" si="5"/>
        <v>0</v>
      </c>
      <c r="AY22" s="22">
        <f t="shared" si="6"/>
        <v>2</v>
      </c>
      <c r="AZ22" s="22">
        <f t="shared" si="7"/>
        <v>5</v>
      </c>
      <c r="BA22" s="22">
        <f t="shared" si="8"/>
        <v>31</v>
      </c>
      <c r="BB22" s="22">
        <f>JanMonthlyReport5[[#This Row],[Days]]-JanMonthlyReport5[[#This Row],[Absent]]</f>
        <v>31</v>
      </c>
      <c r="BC22" s="23">
        <v>10000</v>
      </c>
      <c r="BD22" s="23">
        <f>JanMonthlyReport5[[#This Row],[Basic Salary]]/JanMonthlyReport5[[#This Row],[Days]]</f>
        <v>322.58064516129031</v>
      </c>
      <c r="BE22" s="23">
        <f>JanMonthlyReport5[[#This Row],[Per Day Salary]]*JanMonthlyReport5[[#This Row],[Absent]]</f>
        <v>0</v>
      </c>
      <c r="BF22" s="26">
        <f>JanMonthlyReport5[[#This Row],[Basic Salary]]-JanMonthlyReport5[[#This Row],[Deduction]]</f>
        <v>10000</v>
      </c>
      <c r="BG22" s="21"/>
      <c r="BH22" s="43"/>
    </row>
    <row r="23" spans="1:60" x14ac:dyDescent="0.25">
      <c r="A23"/>
      <c r="B23"/>
      <c r="E23" s="39"/>
      <c r="F23" s="24">
        <v>16</v>
      </c>
      <c r="G23" s="14" t="s">
        <v>35</v>
      </c>
      <c r="H23" s="10" t="s">
        <v>18</v>
      </c>
      <c r="I23" s="15">
        <f t="shared" si="9"/>
        <v>5</v>
      </c>
      <c r="J23" s="14" t="str">
        <f t="shared" si="10"/>
        <v>WO</v>
      </c>
      <c r="K23" s="14" t="s">
        <v>57</v>
      </c>
      <c r="L23" s="14" t="s">
        <v>57</v>
      </c>
      <c r="M23" s="14" t="s">
        <v>57</v>
      </c>
      <c r="N23" s="14" t="s">
        <v>57</v>
      </c>
      <c r="O23" s="14" t="s">
        <v>57</v>
      </c>
      <c r="P23" s="14" t="s">
        <v>57</v>
      </c>
      <c r="Q23" s="14" t="str">
        <f t="shared" si="10"/>
        <v>WO</v>
      </c>
      <c r="R23" s="14" t="s">
        <v>57</v>
      </c>
      <c r="S23" s="14" t="s">
        <v>57</v>
      </c>
      <c r="T23" s="14" t="s">
        <v>57</v>
      </c>
      <c r="U23" s="14" t="s">
        <v>57</v>
      </c>
      <c r="V23" s="14" t="s">
        <v>57</v>
      </c>
      <c r="W23" s="14" t="s">
        <v>57</v>
      </c>
      <c r="X23" s="14" t="str">
        <f t="shared" si="10"/>
        <v>WO</v>
      </c>
      <c r="Y23" s="14" t="s">
        <v>57</v>
      </c>
      <c r="Z23" s="14" t="s">
        <v>57</v>
      </c>
      <c r="AA23" s="14" t="s">
        <v>57</v>
      </c>
      <c r="AB23" s="14" t="s">
        <v>57</v>
      </c>
      <c r="AC23" s="14" t="s">
        <v>57</v>
      </c>
      <c r="AD23" s="14" t="s">
        <v>57</v>
      </c>
      <c r="AE23" s="14" t="str">
        <f t="shared" si="11"/>
        <v>WO</v>
      </c>
      <c r="AF23" s="14" t="s">
        <v>57</v>
      </c>
      <c r="AG23" s="14" t="s">
        <v>57</v>
      </c>
      <c r="AH23" s="14" t="s">
        <v>57</v>
      </c>
      <c r="AI23" s="14" t="s">
        <v>57</v>
      </c>
      <c r="AJ23" s="14" t="s">
        <v>57</v>
      </c>
      <c r="AK23" s="14" t="s">
        <v>57</v>
      </c>
      <c r="AL23" s="14" t="str">
        <f t="shared" si="11"/>
        <v>WO</v>
      </c>
      <c r="AM23" s="14" t="s">
        <v>58</v>
      </c>
      <c r="AN23" s="32" t="s">
        <v>58</v>
      </c>
      <c r="AO23" s="39"/>
      <c r="AR23" s="43"/>
      <c r="AS23" s="22">
        <v>16</v>
      </c>
      <c r="AT23" s="14" t="s">
        <v>35</v>
      </c>
      <c r="AU23" s="14" t="str">
        <f t="shared" si="3"/>
        <v>March</v>
      </c>
      <c r="AV23" s="10" t="s">
        <v>18</v>
      </c>
      <c r="AW23" s="22">
        <f t="shared" si="4"/>
        <v>24</v>
      </c>
      <c r="AX23" s="22">
        <f t="shared" si="5"/>
        <v>0</v>
      </c>
      <c r="AY23" s="22">
        <f t="shared" si="6"/>
        <v>2</v>
      </c>
      <c r="AZ23" s="22">
        <f t="shared" si="7"/>
        <v>5</v>
      </c>
      <c r="BA23" s="22">
        <f t="shared" si="8"/>
        <v>31</v>
      </c>
      <c r="BB23" s="22">
        <f>JanMonthlyReport5[[#This Row],[Days]]-JanMonthlyReport5[[#This Row],[Absent]]</f>
        <v>31</v>
      </c>
      <c r="BC23" s="23">
        <v>10000</v>
      </c>
      <c r="BD23" s="23">
        <f>JanMonthlyReport5[[#This Row],[Basic Salary]]/JanMonthlyReport5[[#This Row],[Days]]</f>
        <v>322.58064516129031</v>
      </c>
      <c r="BE23" s="23">
        <f>JanMonthlyReport5[[#This Row],[Per Day Salary]]*JanMonthlyReport5[[#This Row],[Absent]]</f>
        <v>0</v>
      </c>
      <c r="BF23" s="26">
        <f>JanMonthlyReport5[[#This Row],[Basic Salary]]-JanMonthlyReport5[[#This Row],[Deduction]]</f>
        <v>10000</v>
      </c>
      <c r="BG23" s="21"/>
      <c r="BH23" s="43"/>
    </row>
    <row r="24" spans="1:60" ht="15.75" thickBot="1" x14ac:dyDescent="0.3">
      <c r="A24"/>
      <c r="B24"/>
      <c r="E24" s="39"/>
      <c r="F24" s="25">
        <v>17</v>
      </c>
      <c r="G24" s="33" t="s">
        <v>36</v>
      </c>
      <c r="H24" s="34" t="s">
        <v>19</v>
      </c>
      <c r="I24" s="35">
        <f t="shared" si="9"/>
        <v>5</v>
      </c>
      <c r="J24" s="33" t="str">
        <f t="shared" si="10"/>
        <v>WO</v>
      </c>
      <c r="K24" s="33" t="s">
        <v>57</v>
      </c>
      <c r="L24" s="33" t="s">
        <v>57</v>
      </c>
      <c r="M24" s="33" t="s">
        <v>57</v>
      </c>
      <c r="N24" s="33" t="s">
        <v>57</v>
      </c>
      <c r="O24" s="33" t="s">
        <v>57</v>
      </c>
      <c r="P24" s="33" t="s">
        <v>57</v>
      </c>
      <c r="Q24" s="33" t="str">
        <f t="shared" si="10"/>
        <v>WO</v>
      </c>
      <c r="R24" s="33" t="s">
        <v>57</v>
      </c>
      <c r="S24" s="33" t="s">
        <v>57</v>
      </c>
      <c r="T24" s="33" t="s">
        <v>57</v>
      </c>
      <c r="U24" s="33" t="s">
        <v>57</v>
      </c>
      <c r="V24" s="33" t="s">
        <v>57</v>
      </c>
      <c r="W24" s="33" t="s">
        <v>57</v>
      </c>
      <c r="X24" s="33" t="str">
        <f t="shared" si="10"/>
        <v>WO</v>
      </c>
      <c r="Y24" s="33" t="s">
        <v>57</v>
      </c>
      <c r="Z24" s="33" t="s">
        <v>57</v>
      </c>
      <c r="AA24" s="33" t="s">
        <v>57</v>
      </c>
      <c r="AB24" s="33" t="s">
        <v>57</v>
      </c>
      <c r="AC24" s="33" t="s">
        <v>57</v>
      </c>
      <c r="AD24" s="33" t="s">
        <v>57</v>
      </c>
      <c r="AE24" s="33" t="str">
        <f t="shared" si="11"/>
        <v>WO</v>
      </c>
      <c r="AF24" s="33" t="s">
        <v>57</v>
      </c>
      <c r="AG24" s="33" t="s">
        <v>57</v>
      </c>
      <c r="AH24" s="33" t="s">
        <v>57</v>
      </c>
      <c r="AI24" s="33" t="s">
        <v>57</v>
      </c>
      <c r="AJ24" s="33" t="s">
        <v>57</v>
      </c>
      <c r="AK24" s="33" t="s">
        <v>57</v>
      </c>
      <c r="AL24" s="33" t="str">
        <f t="shared" si="11"/>
        <v>WO</v>
      </c>
      <c r="AM24" s="33" t="s">
        <v>58</v>
      </c>
      <c r="AN24" s="36" t="s">
        <v>58</v>
      </c>
      <c r="AO24" s="39"/>
      <c r="AR24" s="43"/>
      <c r="AS24" s="22">
        <v>17</v>
      </c>
      <c r="AT24" s="14" t="s">
        <v>36</v>
      </c>
      <c r="AU24" s="14" t="str">
        <f t="shared" si="3"/>
        <v>March</v>
      </c>
      <c r="AV24" s="10" t="s">
        <v>19</v>
      </c>
      <c r="AW24" s="22">
        <f t="shared" si="4"/>
        <v>24</v>
      </c>
      <c r="AX24" s="22">
        <f t="shared" si="5"/>
        <v>0</v>
      </c>
      <c r="AY24" s="22">
        <f t="shared" si="6"/>
        <v>2</v>
      </c>
      <c r="AZ24" s="22">
        <f t="shared" si="7"/>
        <v>5</v>
      </c>
      <c r="BA24" s="22">
        <f t="shared" si="8"/>
        <v>31</v>
      </c>
      <c r="BB24" s="22">
        <f>JanMonthlyReport5[[#This Row],[Days]]-JanMonthlyReport5[[#This Row],[Absent]]</f>
        <v>31</v>
      </c>
      <c r="BC24" s="23">
        <v>9000</v>
      </c>
      <c r="BD24" s="23">
        <f>JanMonthlyReport5[[#This Row],[Basic Salary]]/JanMonthlyReport5[[#This Row],[Days]]</f>
        <v>290.32258064516128</v>
      </c>
      <c r="BE24" s="23">
        <f>JanMonthlyReport5[[#This Row],[Per Day Salary]]*JanMonthlyReport5[[#This Row],[Absent]]</f>
        <v>0</v>
      </c>
      <c r="BF24" s="26">
        <f>JanMonthlyReport5[[#This Row],[Basic Salary]]-JanMonthlyReport5[[#This Row],[Deduction]]</f>
        <v>9000</v>
      </c>
      <c r="BG24" s="21"/>
      <c r="BH24" s="43"/>
    </row>
    <row r="25" spans="1:60" x14ac:dyDescent="0.25">
      <c r="A25"/>
      <c r="B25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</row>
    <row r="26" spans="1:60" x14ac:dyDescent="0.25">
      <c r="A26"/>
      <c r="B26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</row>
    <row r="27" spans="1:60" x14ac:dyDescent="0.25">
      <c r="A27"/>
      <c r="B27"/>
    </row>
    <row r="28" spans="1:60" x14ac:dyDescent="0.25">
      <c r="A28"/>
      <c r="B28"/>
    </row>
    <row r="29" spans="1:60" x14ac:dyDescent="0.25">
      <c r="A29"/>
      <c r="B29"/>
    </row>
    <row r="30" spans="1:60" x14ac:dyDescent="0.25">
      <c r="A30"/>
      <c r="B30"/>
    </row>
    <row r="31" spans="1:60" x14ac:dyDescent="0.25">
      <c r="A31"/>
      <c r="B31"/>
    </row>
    <row r="32" spans="1:60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</sheetData>
  <mergeCells count="1">
    <mergeCell ref="F6:H6"/>
  </mergeCells>
  <conditionalFormatting sqref="AQ7 J8:J24 Q8:Q24 X8:X24 AE8:AE24 AL8:AL24">
    <cfRule type="containsText" dxfId="546" priority="30" operator="containsText" text="WO">
      <formula>NOT(ISERROR(SEARCH("WO",J7)))</formula>
    </cfRule>
  </conditionalFormatting>
  <conditionalFormatting sqref="G4 I8:J24 Q8:Q24 X8:X24 AE8:AE24 AL8:AL24">
    <cfRule type="containsText" dxfId="545" priority="29" operator="containsText" text="WO">
      <formula>NOT(ISERROR(SEARCH("WO",G4)))</formula>
    </cfRule>
  </conditionalFormatting>
  <conditionalFormatting sqref="J8:J24 Q8:Q24 X8:X24 AE8:AE24 AL8:AL24">
    <cfRule type="containsText" dxfId="542" priority="26" operator="containsText" text="L">
      <formula>NOT(ISERROR(SEARCH("L",J8)))</formula>
    </cfRule>
    <cfRule type="containsText" dxfId="543" priority="27" operator="containsText" text="A">
      <formula>NOT(ISERROR(SEARCH("A",J8)))</formula>
    </cfRule>
    <cfRule type="containsText" dxfId="544" priority="28" operator="containsText" text="P">
      <formula>NOT(ISERROR(SEARCH("P",J8)))</formula>
    </cfRule>
  </conditionalFormatting>
  <conditionalFormatting sqref="K8:P24">
    <cfRule type="containsText" dxfId="268" priority="25" operator="containsText" text="WO">
      <formula>NOT(ISERROR(SEARCH("WO",K8)))</formula>
    </cfRule>
  </conditionalFormatting>
  <conditionalFormatting sqref="K8:P24">
    <cfRule type="containsText" dxfId="267" priority="24" operator="containsText" text="WO">
      <formula>NOT(ISERROR(SEARCH("WO",K8)))</formula>
    </cfRule>
  </conditionalFormatting>
  <conditionalFormatting sqref="K8:P24">
    <cfRule type="containsText" dxfId="266" priority="21" operator="containsText" text="L">
      <formula>NOT(ISERROR(SEARCH("L",K8)))</formula>
    </cfRule>
    <cfRule type="containsText" dxfId="265" priority="22" operator="containsText" text="A">
      <formula>NOT(ISERROR(SEARCH("A",K8)))</formula>
    </cfRule>
    <cfRule type="containsText" dxfId="264" priority="23" operator="containsText" text="P">
      <formula>NOT(ISERROR(SEARCH("P",K8)))</formula>
    </cfRule>
  </conditionalFormatting>
  <conditionalFormatting sqref="R8:W24">
    <cfRule type="containsText" dxfId="258" priority="20" operator="containsText" text="WO">
      <formula>NOT(ISERROR(SEARCH("WO",R8)))</formula>
    </cfRule>
  </conditionalFormatting>
  <conditionalFormatting sqref="R8:W24">
    <cfRule type="containsText" dxfId="257" priority="19" operator="containsText" text="WO">
      <formula>NOT(ISERROR(SEARCH("WO",R8)))</formula>
    </cfRule>
  </conditionalFormatting>
  <conditionalFormatting sqref="R8:W24">
    <cfRule type="containsText" dxfId="256" priority="16" operator="containsText" text="L">
      <formula>NOT(ISERROR(SEARCH("L",R8)))</formula>
    </cfRule>
    <cfRule type="containsText" dxfId="255" priority="17" operator="containsText" text="A">
      <formula>NOT(ISERROR(SEARCH("A",R8)))</formula>
    </cfRule>
    <cfRule type="containsText" dxfId="254" priority="18" operator="containsText" text="P">
      <formula>NOT(ISERROR(SEARCH("P",R8)))</formula>
    </cfRule>
  </conditionalFormatting>
  <conditionalFormatting sqref="Y8:AD24">
    <cfRule type="containsText" dxfId="248" priority="15" operator="containsText" text="WO">
      <formula>NOT(ISERROR(SEARCH("WO",Y8)))</formula>
    </cfRule>
  </conditionalFormatting>
  <conditionalFormatting sqref="Y8:AD24">
    <cfRule type="containsText" dxfId="247" priority="14" operator="containsText" text="WO">
      <formula>NOT(ISERROR(SEARCH("WO",Y8)))</formula>
    </cfRule>
  </conditionalFormatting>
  <conditionalFormatting sqref="Y8:AD24">
    <cfRule type="containsText" dxfId="246" priority="11" operator="containsText" text="L">
      <formula>NOT(ISERROR(SEARCH("L",Y8)))</formula>
    </cfRule>
    <cfRule type="containsText" dxfId="245" priority="12" operator="containsText" text="A">
      <formula>NOT(ISERROR(SEARCH("A",Y8)))</formula>
    </cfRule>
    <cfRule type="containsText" dxfId="244" priority="13" operator="containsText" text="P">
      <formula>NOT(ISERROR(SEARCH("P",Y8)))</formula>
    </cfRule>
  </conditionalFormatting>
  <conditionalFormatting sqref="AF8:AK24">
    <cfRule type="containsText" dxfId="238" priority="10" operator="containsText" text="WO">
      <formula>NOT(ISERROR(SEARCH("WO",AF8)))</formula>
    </cfRule>
  </conditionalFormatting>
  <conditionalFormatting sqref="AF8:AK24">
    <cfRule type="containsText" dxfId="237" priority="9" operator="containsText" text="WO">
      <formula>NOT(ISERROR(SEARCH("WO",AF8)))</formula>
    </cfRule>
  </conditionalFormatting>
  <conditionalFormatting sqref="AF8:AK24">
    <cfRule type="containsText" dxfId="236" priority="6" operator="containsText" text="L">
      <formula>NOT(ISERROR(SEARCH("L",AF8)))</formula>
    </cfRule>
    <cfRule type="containsText" dxfId="235" priority="7" operator="containsText" text="A">
      <formula>NOT(ISERROR(SEARCH("A",AF8)))</formula>
    </cfRule>
    <cfRule type="containsText" dxfId="234" priority="8" operator="containsText" text="P">
      <formula>NOT(ISERROR(SEARCH("P",AF8)))</formula>
    </cfRule>
  </conditionalFormatting>
  <conditionalFormatting sqref="AM8:AN24">
    <cfRule type="containsText" dxfId="198" priority="5" operator="containsText" text="WO">
      <formula>NOT(ISERROR(SEARCH("WO",AM8)))</formula>
    </cfRule>
  </conditionalFormatting>
  <conditionalFormatting sqref="AM8:AN24">
    <cfRule type="containsText" dxfId="197" priority="4" operator="containsText" text="WO">
      <formula>NOT(ISERROR(SEARCH("WO",AM8)))</formula>
    </cfRule>
  </conditionalFormatting>
  <conditionalFormatting sqref="AM8:AN24">
    <cfRule type="containsText" dxfId="196" priority="1" operator="containsText" text="L">
      <formula>NOT(ISERROR(SEARCH("L",AM8)))</formula>
    </cfRule>
    <cfRule type="containsText" dxfId="195" priority="2" operator="containsText" text="A">
      <formula>NOT(ISERROR(SEARCH("A",AM8)))</formula>
    </cfRule>
    <cfRule type="containsText" dxfId="194" priority="3" operator="containsText" text="P">
      <formula>NOT(ISERROR(SEARCH("P",AM8)))</formula>
    </cfRule>
  </conditionalFormatting>
  <dataValidations count="1">
    <dataValidation type="list" allowBlank="1" showInputMessage="1" showErrorMessage="1" sqref="AM8:AN24 K8:P24 R8:W24 Y8:AD24 AF8:AK24" xr:uid="{16F34889-CF46-4B3B-8F80-35DBFDC4D65F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003B8E-8B6A-4736-B7AD-EF0EB08DF694}">
          <x14:formula1>
            <xm:f>Rough!$A$1:$A$12</xm:f>
          </x14:formula1>
          <xm:sqref>G4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BCF8E4-DE8C-4E9C-8659-0F0E85EFFC09}">
          <x14:colorSeries theme="7"/>
          <x14:colorNegative rgb="FFFF0000"/>
          <x14:colorAxis rgb="FF000000"/>
          <x14:colorMarkers theme="7" tint="-0.499984740745262"/>
          <x14:colorFirst theme="7" tint="0.39997558519241921"/>
          <x14:colorLast theme="7" tint="0.39997558519241921"/>
          <x14:colorHigh theme="9" tint="-0.249977111117893"/>
          <x14:colorLow theme="7"/>
          <x14:sparklines>
            <x14:sparkline>
              <xm:f>Mar!AW8:AY8</xm:f>
              <xm:sqref>BG8</xm:sqref>
            </x14:sparkline>
            <x14:sparkline>
              <xm:f>Mar!AW9:AY9</xm:f>
              <xm:sqref>BG9</xm:sqref>
            </x14:sparkline>
            <x14:sparkline>
              <xm:f>Mar!AW10:AY10</xm:f>
              <xm:sqref>BG10</xm:sqref>
            </x14:sparkline>
            <x14:sparkline>
              <xm:f>Mar!AW11:AY11</xm:f>
              <xm:sqref>BG11</xm:sqref>
            </x14:sparkline>
            <x14:sparkline>
              <xm:f>Mar!AW12:AY12</xm:f>
              <xm:sqref>BG12</xm:sqref>
            </x14:sparkline>
            <x14:sparkline>
              <xm:f>Mar!AW13:AY13</xm:f>
              <xm:sqref>BG13</xm:sqref>
            </x14:sparkline>
            <x14:sparkline>
              <xm:f>Mar!AW14:AY14</xm:f>
              <xm:sqref>BG14</xm:sqref>
            </x14:sparkline>
            <x14:sparkline>
              <xm:f>Mar!AW15:AY15</xm:f>
              <xm:sqref>BG15</xm:sqref>
            </x14:sparkline>
            <x14:sparkline>
              <xm:f>Mar!AW16:AY16</xm:f>
              <xm:sqref>BG16</xm:sqref>
            </x14:sparkline>
            <x14:sparkline>
              <xm:f>Mar!AW17:AY17</xm:f>
              <xm:sqref>BG17</xm:sqref>
            </x14:sparkline>
            <x14:sparkline>
              <xm:f>Mar!AW18:AY18</xm:f>
              <xm:sqref>BG18</xm:sqref>
            </x14:sparkline>
            <x14:sparkline>
              <xm:f>Mar!AW19:AY19</xm:f>
              <xm:sqref>BG19</xm:sqref>
            </x14:sparkline>
            <x14:sparkline>
              <xm:f>Mar!AW20:AY20</xm:f>
              <xm:sqref>BG20</xm:sqref>
            </x14:sparkline>
            <x14:sparkline>
              <xm:f>Mar!AW21:AY21</xm:f>
              <xm:sqref>BG21</xm:sqref>
            </x14:sparkline>
            <x14:sparkline>
              <xm:f>Mar!AW22:AY22</xm:f>
              <xm:sqref>BG22</xm:sqref>
            </x14:sparkline>
            <x14:sparkline>
              <xm:f>Mar!AW23:AY23</xm:f>
              <xm:sqref>BG23</xm:sqref>
            </x14:sparkline>
            <x14:sparkline>
              <xm:f>Mar!AW24:AY24</xm:f>
              <xm:sqref>BG24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8B31-B0BA-4580-8291-D7AEBF369137}">
  <dimension ref="A1:BH36"/>
  <sheetViews>
    <sheetView topLeftCell="AV1" zoomScale="90" zoomScaleNormal="90" workbookViewId="0">
      <selection activeCell="BG8" sqref="BG8:BG24"/>
    </sheetView>
  </sheetViews>
  <sheetFormatPr defaultRowHeight="15" x14ac:dyDescent="0.25"/>
  <cols>
    <col min="1" max="5" width="9.140625" style="37"/>
    <col min="6" max="6" width="8.28515625" style="37" bestFit="1" customWidth="1"/>
    <col min="7" max="7" width="14.7109375" style="37" bestFit="1" customWidth="1"/>
    <col min="8" max="8" width="24" style="37" bestFit="1" customWidth="1"/>
    <col min="9" max="9" width="9.85546875" style="37" bestFit="1" customWidth="1"/>
    <col min="10" max="10" width="8.42578125" style="37" bestFit="1" customWidth="1"/>
    <col min="11" max="11" width="6.42578125" style="37" customWidth="1"/>
    <col min="12" max="12" width="5.85546875" style="37" bestFit="1" customWidth="1"/>
    <col min="13" max="13" width="6.42578125" style="37" bestFit="1" customWidth="1"/>
    <col min="14" max="14" width="6.5703125" style="37" bestFit="1" customWidth="1"/>
    <col min="15" max="15" width="6.140625" style="37" bestFit="1" customWidth="1"/>
    <col min="16" max="16" width="6.85546875" style="37" bestFit="1" customWidth="1"/>
    <col min="17" max="17" width="6.140625" style="37" bestFit="1" customWidth="1"/>
    <col min="18" max="18" width="4.7109375" style="37" bestFit="1" customWidth="1"/>
    <col min="19" max="19" width="5.85546875" style="37" bestFit="1" customWidth="1"/>
    <col min="20" max="20" width="6.42578125" style="37" bestFit="1" customWidth="1"/>
    <col min="21" max="21" width="6.5703125" style="37" bestFit="1" customWidth="1"/>
    <col min="22" max="22" width="6.140625" style="37" bestFit="1" customWidth="1"/>
    <col min="23" max="23" width="6.85546875" style="37" bestFit="1" customWidth="1"/>
    <col min="24" max="24" width="6.140625" style="37" bestFit="1" customWidth="1"/>
    <col min="25" max="25" width="4.7109375" style="37" bestFit="1" customWidth="1"/>
    <col min="26" max="26" width="5.85546875" style="37" bestFit="1" customWidth="1"/>
    <col min="27" max="27" width="6.42578125" style="37" bestFit="1" customWidth="1"/>
    <col min="28" max="28" width="6.5703125" style="37" bestFit="1" customWidth="1"/>
    <col min="29" max="29" width="6.140625" style="37" bestFit="1" customWidth="1"/>
    <col min="30" max="30" width="6.85546875" style="37" bestFit="1" customWidth="1"/>
    <col min="31" max="31" width="6.140625" style="37" bestFit="1" customWidth="1"/>
    <col min="32" max="32" width="4.7109375" style="37" bestFit="1" customWidth="1"/>
    <col min="33" max="33" width="5.85546875" style="37" bestFit="1" customWidth="1"/>
    <col min="34" max="34" width="6.42578125" style="37" bestFit="1" customWidth="1"/>
    <col min="35" max="35" width="6.5703125" style="37" bestFit="1" customWidth="1"/>
    <col min="36" max="36" width="6.140625" style="37" bestFit="1" customWidth="1"/>
    <col min="37" max="37" width="6.85546875" style="37" bestFit="1" customWidth="1"/>
    <col min="38" max="38" width="6.140625" style="37" bestFit="1" customWidth="1"/>
    <col min="39" max="39" width="4.5703125" style="37" bestFit="1" customWidth="1"/>
    <col min="40" max="40" width="5.7109375" style="37" bestFit="1" customWidth="1"/>
    <col min="41" max="45" width="9.140625" style="37"/>
    <col min="46" max="47" width="15.140625" style="37" customWidth="1"/>
    <col min="48" max="48" width="21.5703125" style="37" bestFit="1" customWidth="1"/>
    <col min="49" max="49" width="9.85546875" style="37" customWidth="1"/>
    <col min="50" max="50" width="9.28515625" style="37" customWidth="1"/>
    <col min="51" max="51" width="8.42578125" style="37" customWidth="1"/>
    <col min="52" max="52" width="11.85546875" style="37" customWidth="1"/>
    <col min="53" max="53" width="7.7109375" style="37" customWidth="1"/>
    <col min="54" max="54" width="12" style="37" customWidth="1"/>
    <col min="55" max="55" width="14" style="37" customWidth="1"/>
    <col min="56" max="56" width="16.28515625" style="37" customWidth="1"/>
    <col min="57" max="57" width="12.5703125" style="37" bestFit="1" customWidth="1"/>
    <col min="58" max="58" width="13.7109375" style="37" customWidth="1"/>
    <col min="59" max="59" width="16.7109375" style="37" customWidth="1"/>
    <col min="60" max="16384" width="9.140625" style="37"/>
  </cols>
  <sheetData>
    <row r="1" spans="1:6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6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60" x14ac:dyDescent="0.25">
      <c r="A3"/>
      <c r="B3"/>
    </row>
    <row r="4" spans="1:60" x14ac:dyDescent="0.25">
      <c r="A4"/>
      <c r="B4"/>
      <c r="E4" s="39"/>
      <c r="F4" s="39" t="s">
        <v>41</v>
      </c>
      <c r="G4" s="40">
        <v>46113</v>
      </c>
      <c r="H4" s="41">
        <f>DATEDIF($G$4,$K$4,"D")+1</f>
        <v>30</v>
      </c>
      <c r="I4" s="39" t="str">
        <f>TEXT(G4,"MMMM")</f>
        <v>April</v>
      </c>
      <c r="J4" s="39" t="s">
        <v>42</v>
      </c>
      <c r="K4" s="40">
        <f>EOMONTH(G4,0)</f>
        <v>46142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60" ht="15.75" thickBot="1" x14ac:dyDescent="0.3">
      <c r="A5"/>
      <c r="B5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</row>
    <row r="6" spans="1:60" x14ac:dyDescent="0.25">
      <c r="A6"/>
      <c r="B6"/>
      <c r="E6" s="39"/>
      <c r="F6" s="46" t="s">
        <v>44</v>
      </c>
      <c r="G6" s="47"/>
      <c r="H6" s="48"/>
      <c r="I6" s="27" t="s">
        <v>43</v>
      </c>
      <c r="J6" s="28" t="str">
        <f>TEXT(J7,"DDD")</f>
        <v>Wed</v>
      </c>
      <c r="K6" s="28" t="str">
        <f t="shared" ref="K6:AN6" si="0">TEXT(K7,"DDD")</f>
        <v>Thu</v>
      </c>
      <c r="L6" s="28" t="str">
        <f t="shared" si="0"/>
        <v>Fri</v>
      </c>
      <c r="M6" s="28" t="str">
        <f t="shared" si="0"/>
        <v>Sat</v>
      </c>
      <c r="N6" s="28" t="str">
        <f t="shared" si="0"/>
        <v>Sun</v>
      </c>
      <c r="O6" s="28" t="str">
        <f t="shared" si="0"/>
        <v>Mon</v>
      </c>
      <c r="P6" s="28" t="str">
        <f t="shared" si="0"/>
        <v>Tue</v>
      </c>
      <c r="Q6" s="28" t="str">
        <f t="shared" si="0"/>
        <v>Wed</v>
      </c>
      <c r="R6" s="28" t="str">
        <f t="shared" si="0"/>
        <v>Thu</v>
      </c>
      <c r="S6" s="28" t="str">
        <f t="shared" si="0"/>
        <v>Fri</v>
      </c>
      <c r="T6" s="28" t="str">
        <f t="shared" si="0"/>
        <v>Sat</v>
      </c>
      <c r="U6" s="28" t="str">
        <f t="shared" si="0"/>
        <v>Sun</v>
      </c>
      <c r="V6" s="28" t="str">
        <f t="shared" si="0"/>
        <v>Mon</v>
      </c>
      <c r="W6" s="28" t="str">
        <f t="shared" si="0"/>
        <v>Tue</v>
      </c>
      <c r="X6" s="28" t="str">
        <f t="shared" si="0"/>
        <v>Wed</v>
      </c>
      <c r="Y6" s="28" t="str">
        <f t="shared" si="0"/>
        <v>Thu</v>
      </c>
      <c r="Z6" s="28" t="str">
        <f t="shared" si="0"/>
        <v>Fri</v>
      </c>
      <c r="AA6" s="28" t="str">
        <f t="shared" si="0"/>
        <v>Sat</v>
      </c>
      <c r="AB6" s="28" t="str">
        <f t="shared" si="0"/>
        <v>Sun</v>
      </c>
      <c r="AC6" s="28" t="str">
        <f t="shared" si="0"/>
        <v>Mon</v>
      </c>
      <c r="AD6" s="28" t="str">
        <f t="shared" si="0"/>
        <v>Tue</v>
      </c>
      <c r="AE6" s="28" t="str">
        <f t="shared" si="0"/>
        <v>Wed</v>
      </c>
      <c r="AF6" s="28" t="str">
        <f t="shared" si="0"/>
        <v>Thu</v>
      </c>
      <c r="AG6" s="28" t="str">
        <f t="shared" si="0"/>
        <v>Fri</v>
      </c>
      <c r="AH6" s="28" t="str">
        <f t="shared" si="0"/>
        <v>Sat</v>
      </c>
      <c r="AI6" s="28" t="str">
        <f t="shared" si="0"/>
        <v>Sun</v>
      </c>
      <c r="AJ6" s="28" t="str">
        <f t="shared" si="0"/>
        <v>Mon</v>
      </c>
      <c r="AK6" s="28" t="str">
        <f t="shared" si="0"/>
        <v>Tue</v>
      </c>
      <c r="AL6" s="28" t="str">
        <f t="shared" si="0"/>
        <v>Wed</v>
      </c>
      <c r="AM6" s="28" t="str">
        <f t="shared" si="0"/>
        <v>Thu</v>
      </c>
      <c r="AN6" s="29" t="str">
        <f t="shared" si="0"/>
        <v/>
      </c>
      <c r="AO6" s="42" t="str">
        <f>IF(AN7 &lt; $K$4,AN7+1,"")</f>
        <v/>
      </c>
      <c r="AP6" s="38"/>
      <c r="AQ6" s="38"/>
      <c r="AR6" s="44"/>
      <c r="AS6" s="44"/>
      <c r="AT6" s="44"/>
      <c r="AU6" s="44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</row>
    <row r="7" spans="1:60" ht="15.75" thickBot="1" x14ac:dyDescent="0.3">
      <c r="A7"/>
      <c r="B7"/>
      <c r="E7" s="39"/>
      <c r="F7" s="30" t="s">
        <v>37</v>
      </c>
      <c r="G7" s="12" t="s">
        <v>38</v>
      </c>
      <c r="H7" s="13" t="s">
        <v>39</v>
      </c>
      <c r="I7" s="16" t="s">
        <v>40</v>
      </c>
      <c r="J7" s="17">
        <f>G4</f>
        <v>46113</v>
      </c>
      <c r="K7" s="17">
        <f t="shared" ref="K7:AN7" si="1">IF(J7 &lt; $K$4,J7+1,"")</f>
        <v>46114</v>
      </c>
      <c r="L7" s="17">
        <f t="shared" si="1"/>
        <v>46115</v>
      </c>
      <c r="M7" s="17">
        <f t="shared" si="1"/>
        <v>46116</v>
      </c>
      <c r="N7" s="17">
        <f t="shared" si="1"/>
        <v>46117</v>
      </c>
      <c r="O7" s="17">
        <f t="shared" si="1"/>
        <v>46118</v>
      </c>
      <c r="P7" s="17">
        <f t="shared" si="1"/>
        <v>46119</v>
      </c>
      <c r="Q7" s="17">
        <f t="shared" si="1"/>
        <v>46120</v>
      </c>
      <c r="R7" s="17">
        <f t="shared" si="1"/>
        <v>46121</v>
      </c>
      <c r="S7" s="17">
        <f t="shared" si="1"/>
        <v>46122</v>
      </c>
      <c r="T7" s="17">
        <f t="shared" si="1"/>
        <v>46123</v>
      </c>
      <c r="U7" s="17">
        <f t="shared" si="1"/>
        <v>46124</v>
      </c>
      <c r="V7" s="17">
        <f t="shared" si="1"/>
        <v>46125</v>
      </c>
      <c r="W7" s="17">
        <f t="shared" si="1"/>
        <v>46126</v>
      </c>
      <c r="X7" s="17">
        <f t="shared" si="1"/>
        <v>46127</v>
      </c>
      <c r="Y7" s="17">
        <f t="shared" si="1"/>
        <v>46128</v>
      </c>
      <c r="Z7" s="17">
        <f t="shared" si="1"/>
        <v>46129</v>
      </c>
      <c r="AA7" s="17">
        <f t="shared" si="1"/>
        <v>46130</v>
      </c>
      <c r="AB7" s="17">
        <f t="shared" si="1"/>
        <v>46131</v>
      </c>
      <c r="AC7" s="17">
        <f t="shared" si="1"/>
        <v>46132</v>
      </c>
      <c r="AD7" s="17">
        <f t="shared" si="1"/>
        <v>46133</v>
      </c>
      <c r="AE7" s="17">
        <f t="shared" si="1"/>
        <v>46134</v>
      </c>
      <c r="AF7" s="17">
        <f t="shared" si="1"/>
        <v>46135</v>
      </c>
      <c r="AG7" s="17">
        <f t="shared" si="1"/>
        <v>46136</v>
      </c>
      <c r="AH7" s="17">
        <f t="shared" si="1"/>
        <v>46137</v>
      </c>
      <c r="AI7" s="17">
        <f t="shared" si="1"/>
        <v>46138</v>
      </c>
      <c r="AJ7" s="17">
        <f t="shared" si="1"/>
        <v>46139</v>
      </c>
      <c r="AK7" s="17">
        <f t="shared" si="1"/>
        <v>46140</v>
      </c>
      <c r="AL7" s="17">
        <f t="shared" si="1"/>
        <v>46141</v>
      </c>
      <c r="AM7" s="17">
        <f t="shared" si="1"/>
        <v>46142</v>
      </c>
      <c r="AN7" s="31" t="str">
        <f t="shared" si="1"/>
        <v/>
      </c>
      <c r="AO7" s="39"/>
      <c r="AR7" s="43"/>
      <c r="AS7" s="18" t="s">
        <v>37</v>
      </c>
      <c r="AT7" s="18" t="s">
        <v>38</v>
      </c>
      <c r="AU7" s="18" t="s">
        <v>56</v>
      </c>
      <c r="AV7" s="19" t="s">
        <v>39</v>
      </c>
      <c r="AW7" s="18" t="s">
        <v>45</v>
      </c>
      <c r="AX7" s="18" t="s">
        <v>46</v>
      </c>
      <c r="AY7" s="18" t="s">
        <v>47</v>
      </c>
      <c r="AZ7" s="18" t="s">
        <v>48</v>
      </c>
      <c r="BA7" s="18" t="s">
        <v>49</v>
      </c>
      <c r="BB7" s="18" t="s">
        <v>50</v>
      </c>
      <c r="BC7" s="18" t="s">
        <v>51</v>
      </c>
      <c r="BD7" s="18" t="s">
        <v>52</v>
      </c>
      <c r="BE7" s="18" t="s">
        <v>53</v>
      </c>
      <c r="BF7" s="20" t="s">
        <v>54</v>
      </c>
      <c r="BG7" s="18" t="s">
        <v>55</v>
      </c>
      <c r="BH7" s="43"/>
    </row>
    <row r="8" spans="1:60" x14ac:dyDescent="0.25">
      <c r="A8"/>
      <c r="B8"/>
      <c r="E8" s="39"/>
      <c r="F8" s="24">
        <v>1</v>
      </c>
      <c r="G8" s="14" t="s">
        <v>20</v>
      </c>
      <c r="H8" s="10" t="s">
        <v>3</v>
      </c>
      <c r="I8" s="15">
        <f>COUNTIF($J$6:$AN$6,"sun")</f>
        <v>4</v>
      </c>
      <c r="J8" s="14" t="s">
        <v>57</v>
      </c>
      <c r="K8" s="14" t="s">
        <v>57</v>
      </c>
      <c r="L8" s="14" t="s">
        <v>57</v>
      </c>
      <c r="M8" s="14" t="s">
        <v>57</v>
      </c>
      <c r="N8" s="14" t="str">
        <f t="shared" ref="K8:AN16" si="2">IF(N$6 = "sun","WO","")</f>
        <v>WO</v>
      </c>
      <c r="O8" s="14" t="s">
        <v>57</v>
      </c>
      <c r="P8" s="14" t="s">
        <v>57</v>
      </c>
      <c r="Q8" s="14" t="s">
        <v>57</v>
      </c>
      <c r="R8" s="14" t="s">
        <v>57</v>
      </c>
      <c r="S8" s="14" t="s">
        <v>57</v>
      </c>
      <c r="T8" s="14" t="s">
        <v>57</v>
      </c>
      <c r="U8" s="14" t="str">
        <f t="shared" si="2"/>
        <v>WO</v>
      </c>
      <c r="V8" s="14" t="s">
        <v>57</v>
      </c>
      <c r="W8" s="14" t="s">
        <v>57</v>
      </c>
      <c r="X8" s="14" t="s">
        <v>57</v>
      </c>
      <c r="Y8" s="14" t="s">
        <v>57</v>
      </c>
      <c r="Z8" s="14" t="s">
        <v>57</v>
      </c>
      <c r="AA8" s="14" t="s">
        <v>57</v>
      </c>
      <c r="AB8" s="14" t="str">
        <f t="shared" si="2"/>
        <v>WO</v>
      </c>
      <c r="AC8" s="14" t="s">
        <v>57</v>
      </c>
      <c r="AD8" s="14" t="s">
        <v>57</v>
      </c>
      <c r="AE8" s="14" t="s">
        <v>57</v>
      </c>
      <c r="AF8" s="14" t="s">
        <v>57</v>
      </c>
      <c r="AG8" s="14" t="s">
        <v>57</v>
      </c>
      <c r="AH8" s="14" t="s">
        <v>57</v>
      </c>
      <c r="AI8" s="14" t="str">
        <f t="shared" si="2"/>
        <v>WO</v>
      </c>
      <c r="AJ8" s="14" t="s">
        <v>57</v>
      </c>
      <c r="AK8" s="14" t="s">
        <v>57</v>
      </c>
      <c r="AL8" s="14" t="s">
        <v>57</v>
      </c>
      <c r="AM8" s="14" t="s">
        <v>57</v>
      </c>
      <c r="AN8" s="32"/>
      <c r="AO8" s="39"/>
      <c r="AR8" s="43"/>
      <c r="AS8" s="22">
        <v>1</v>
      </c>
      <c r="AT8" s="14" t="s">
        <v>20</v>
      </c>
      <c r="AU8" s="14" t="str">
        <f t="shared" ref="AU8:AU24" si="3">$I$4</f>
        <v>April</v>
      </c>
      <c r="AV8" s="10" t="s">
        <v>3</v>
      </c>
      <c r="AW8" s="22">
        <f t="shared" ref="AW8:AW24" si="4">COUNTIF($J8:$AN8,"P")</f>
        <v>26</v>
      </c>
      <c r="AX8" s="22">
        <f t="shared" ref="AX8:AX24" si="5">COUNTIF($J8:$AN8,"A")</f>
        <v>0</v>
      </c>
      <c r="AY8" s="22">
        <f t="shared" ref="AY8:AY24" si="6">COUNTIF($J8:$AN8,"L")</f>
        <v>0</v>
      </c>
      <c r="AZ8" s="22">
        <f t="shared" ref="AZ8:AZ24" si="7">$I$8</f>
        <v>4</v>
      </c>
      <c r="BA8" s="22">
        <f t="shared" ref="BA8:BA24" si="8">$H$4</f>
        <v>30</v>
      </c>
      <c r="BB8" s="22">
        <f>JanMonthlyReport716[[#This Row],[Days]]-JanMonthlyReport716[[#This Row],[Absent]]</f>
        <v>30</v>
      </c>
      <c r="BC8" s="23">
        <v>100000</v>
      </c>
      <c r="BD8" s="23">
        <f>JanMonthlyReport716[[#This Row],[Basic Salary]]/JanMonthlyReport716[[#This Row],[Days]]</f>
        <v>3333.3333333333335</v>
      </c>
      <c r="BE8" s="23">
        <f>JanMonthlyReport716[[#This Row],[Per Day Salary]]*JanMonthlyReport716[[#This Row],[Absent]]</f>
        <v>0</v>
      </c>
      <c r="BF8" s="26">
        <f>JanMonthlyReport716[[#This Row],[Basic Salary]]-JanMonthlyReport716[[#This Row],[Deduction]]</f>
        <v>100000</v>
      </c>
      <c r="BG8" s="21"/>
      <c r="BH8" s="43"/>
    </row>
    <row r="9" spans="1:60" x14ac:dyDescent="0.25">
      <c r="A9"/>
      <c r="B9"/>
      <c r="E9" s="39"/>
      <c r="F9" s="24">
        <v>2</v>
      </c>
      <c r="G9" s="14" t="s">
        <v>21</v>
      </c>
      <c r="H9" s="10" t="s">
        <v>4</v>
      </c>
      <c r="I9" s="15">
        <f t="shared" ref="I9:I24" si="9">COUNTIF($J$6:$AN$6,"sun")</f>
        <v>4</v>
      </c>
      <c r="J9" s="14" t="s">
        <v>57</v>
      </c>
      <c r="K9" s="14" t="s">
        <v>57</v>
      </c>
      <c r="L9" s="14" t="s">
        <v>57</v>
      </c>
      <c r="M9" s="14" t="s">
        <v>57</v>
      </c>
      <c r="N9" s="14" t="str">
        <f t="shared" si="2"/>
        <v>WO</v>
      </c>
      <c r="O9" s="14" t="s">
        <v>57</v>
      </c>
      <c r="P9" s="14" t="s">
        <v>57</v>
      </c>
      <c r="Q9" s="14" t="s">
        <v>57</v>
      </c>
      <c r="R9" s="14" t="s">
        <v>57</v>
      </c>
      <c r="S9" s="14" t="s">
        <v>57</v>
      </c>
      <c r="T9" s="14" t="s">
        <v>57</v>
      </c>
      <c r="U9" s="14" t="str">
        <f t="shared" si="2"/>
        <v>WO</v>
      </c>
      <c r="V9" s="14" t="s">
        <v>57</v>
      </c>
      <c r="W9" s="14" t="s">
        <v>57</v>
      </c>
      <c r="X9" s="14" t="s">
        <v>57</v>
      </c>
      <c r="Y9" s="14" t="s">
        <v>57</v>
      </c>
      <c r="Z9" s="14" t="s">
        <v>57</v>
      </c>
      <c r="AA9" s="14" t="s">
        <v>57</v>
      </c>
      <c r="AB9" s="14" t="str">
        <f t="shared" si="2"/>
        <v>WO</v>
      </c>
      <c r="AC9" s="14" t="s">
        <v>57</v>
      </c>
      <c r="AD9" s="14" t="s">
        <v>57</v>
      </c>
      <c r="AE9" s="14" t="s">
        <v>57</v>
      </c>
      <c r="AF9" s="14" t="s">
        <v>57</v>
      </c>
      <c r="AG9" s="14" t="s">
        <v>57</v>
      </c>
      <c r="AH9" s="14" t="s">
        <v>57</v>
      </c>
      <c r="AI9" s="14" t="str">
        <f t="shared" si="2"/>
        <v>WO</v>
      </c>
      <c r="AJ9" s="14" t="s">
        <v>57</v>
      </c>
      <c r="AK9" s="14" t="s">
        <v>57</v>
      </c>
      <c r="AL9" s="14" t="s">
        <v>57</v>
      </c>
      <c r="AM9" s="14" t="s">
        <v>57</v>
      </c>
      <c r="AN9" s="32"/>
      <c r="AO9" s="39"/>
      <c r="AR9" s="43"/>
      <c r="AS9" s="22">
        <v>2</v>
      </c>
      <c r="AT9" s="14" t="s">
        <v>21</v>
      </c>
      <c r="AU9" s="14" t="str">
        <f t="shared" si="3"/>
        <v>April</v>
      </c>
      <c r="AV9" s="10" t="s">
        <v>4</v>
      </c>
      <c r="AW9" s="22">
        <f t="shared" si="4"/>
        <v>26</v>
      </c>
      <c r="AX9" s="22">
        <f t="shared" si="5"/>
        <v>0</v>
      </c>
      <c r="AY9" s="22">
        <f t="shared" si="6"/>
        <v>0</v>
      </c>
      <c r="AZ9" s="22">
        <f t="shared" si="7"/>
        <v>4</v>
      </c>
      <c r="BA9" s="22">
        <f t="shared" si="8"/>
        <v>30</v>
      </c>
      <c r="BB9" s="22">
        <f>JanMonthlyReport716[[#This Row],[Days]]-JanMonthlyReport716[[#This Row],[Absent]]</f>
        <v>30</v>
      </c>
      <c r="BC9" s="23">
        <v>70000</v>
      </c>
      <c r="BD9" s="23">
        <f>JanMonthlyReport716[[#This Row],[Basic Salary]]/JanMonthlyReport716[[#This Row],[Days]]</f>
        <v>2333.3333333333335</v>
      </c>
      <c r="BE9" s="23">
        <f>JanMonthlyReport716[[#This Row],[Per Day Salary]]*JanMonthlyReport716[[#This Row],[Absent]]</f>
        <v>0</v>
      </c>
      <c r="BF9" s="26">
        <f>JanMonthlyReport716[[#This Row],[Basic Salary]]-JanMonthlyReport716[[#This Row],[Deduction]]</f>
        <v>70000</v>
      </c>
      <c r="BG9" s="21"/>
      <c r="BH9" s="43"/>
    </row>
    <row r="10" spans="1:60" x14ac:dyDescent="0.25">
      <c r="A10"/>
      <c r="B10"/>
      <c r="E10" s="39"/>
      <c r="F10" s="24">
        <v>3</v>
      </c>
      <c r="G10" s="14" t="s">
        <v>22</v>
      </c>
      <c r="H10" s="10" t="s">
        <v>5</v>
      </c>
      <c r="I10" s="15">
        <f t="shared" si="9"/>
        <v>4</v>
      </c>
      <c r="J10" s="14" t="s">
        <v>57</v>
      </c>
      <c r="K10" s="14" t="s">
        <v>57</v>
      </c>
      <c r="L10" s="14" t="s">
        <v>57</v>
      </c>
      <c r="M10" s="14" t="s">
        <v>57</v>
      </c>
      <c r="N10" s="14" t="str">
        <f t="shared" si="2"/>
        <v>WO</v>
      </c>
      <c r="O10" s="14" t="s">
        <v>57</v>
      </c>
      <c r="P10" s="14" t="s">
        <v>57</v>
      </c>
      <c r="Q10" s="14" t="s">
        <v>57</v>
      </c>
      <c r="R10" s="14" t="s">
        <v>57</v>
      </c>
      <c r="S10" s="14" t="s">
        <v>57</v>
      </c>
      <c r="T10" s="14" t="s">
        <v>57</v>
      </c>
      <c r="U10" s="14" t="str">
        <f t="shared" si="2"/>
        <v>WO</v>
      </c>
      <c r="V10" s="14" t="s">
        <v>57</v>
      </c>
      <c r="W10" s="14" t="s">
        <v>57</v>
      </c>
      <c r="X10" s="14" t="s">
        <v>57</v>
      </c>
      <c r="Y10" s="14" t="s">
        <v>57</v>
      </c>
      <c r="Z10" s="14" t="s">
        <v>57</v>
      </c>
      <c r="AA10" s="14" t="s">
        <v>57</v>
      </c>
      <c r="AB10" s="14" t="str">
        <f t="shared" si="2"/>
        <v>WO</v>
      </c>
      <c r="AC10" s="14" t="s">
        <v>57</v>
      </c>
      <c r="AD10" s="14" t="s">
        <v>57</v>
      </c>
      <c r="AE10" s="14" t="s">
        <v>57</v>
      </c>
      <c r="AF10" s="14" t="s">
        <v>57</v>
      </c>
      <c r="AG10" s="14" t="s">
        <v>57</v>
      </c>
      <c r="AH10" s="14" t="s">
        <v>57</v>
      </c>
      <c r="AI10" s="14" t="str">
        <f t="shared" si="2"/>
        <v>WO</v>
      </c>
      <c r="AJ10" s="14" t="s">
        <v>57</v>
      </c>
      <c r="AK10" s="14" t="s">
        <v>57</v>
      </c>
      <c r="AL10" s="14" t="s">
        <v>57</v>
      </c>
      <c r="AM10" s="14" t="s">
        <v>57</v>
      </c>
      <c r="AN10" s="32"/>
      <c r="AO10" s="39"/>
      <c r="AR10" s="43"/>
      <c r="AS10" s="22">
        <v>3</v>
      </c>
      <c r="AT10" s="14" t="s">
        <v>22</v>
      </c>
      <c r="AU10" s="14" t="str">
        <f t="shared" si="3"/>
        <v>April</v>
      </c>
      <c r="AV10" s="10" t="s">
        <v>5</v>
      </c>
      <c r="AW10" s="22">
        <f t="shared" si="4"/>
        <v>26</v>
      </c>
      <c r="AX10" s="22">
        <f t="shared" si="5"/>
        <v>0</v>
      </c>
      <c r="AY10" s="22">
        <f t="shared" si="6"/>
        <v>0</v>
      </c>
      <c r="AZ10" s="22">
        <f t="shared" si="7"/>
        <v>4</v>
      </c>
      <c r="BA10" s="22">
        <f t="shared" si="8"/>
        <v>30</v>
      </c>
      <c r="BB10" s="22">
        <f>JanMonthlyReport716[[#This Row],[Days]]-JanMonthlyReport716[[#This Row],[Absent]]</f>
        <v>30</v>
      </c>
      <c r="BC10" s="23">
        <v>80000</v>
      </c>
      <c r="BD10" s="23">
        <f>JanMonthlyReport716[[#This Row],[Basic Salary]]/JanMonthlyReport716[[#This Row],[Days]]</f>
        <v>2666.6666666666665</v>
      </c>
      <c r="BE10" s="23">
        <f>JanMonthlyReport716[[#This Row],[Per Day Salary]]*JanMonthlyReport716[[#This Row],[Absent]]</f>
        <v>0</v>
      </c>
      <c r="BF10" s="26">
        <f>JanMonthlyReport716[[#This Row],[Basic Salary]]-JanMonthlyReport716[[#This Row],[Deduction]]</f>
        <v>80000</v>
      </c>
      <c r="BG10" s="21"/>
      <c r="BH10" s="43"/>
    </row>
    <row r="11" spans="1:60" x14ac:dyDescent="0.25">
      <c r="A11"/>
      <c r="B11"/>
      <c r="E11" s="39"/>
      <c r="F11" s="24">
        <v>4</v>
      </c>
      <c r="G11" s="14" t="s">
        <v>23</v>
      </c>
      <c r="H11" s="10" t="s">
        <v>6</v>
      </c>
      <c r="I11" s="15">
        <f t="shared" si="9"/>
        <v>4</v>
      </c>
      <c r="J11" s="14" t="s">
        <v>57</v>
      </c>
      <c r="K11" s="14" t="s">
        <v>57</v>
      </c>
      <c r="L11" s="14" t="s">
        <v>57</v>
      </c>
      <c r="M11" s="14" t="s">
        <v>57</v>
      </c>
      <c r="N11" s="14" t="str">
        <f t="shared" si="2"/>
        <v>WO</v>
      </c>
      <c r="O11" s="14" t="s">
        <v>57</v>
      </c>
      <c r="P11" s="14" t="s">
        <v>57</v>
      </c>
      <c r="Q11" s="14" t="s">
        <v>57</v>
      </c>
      <c r="R11" s="14" t="s">
        <v>57</v>
      </c>
      <c r="S11" s="14" t="s">
        <v>57</v>
      </c>
      <c r="T11" s="14" t="s">
        <v>57</v>
      </c>
      <c r="U11" s="14" t="str">
        <f t="shared" si="2"/>
        <v>WO</v>
      </c>
      <c r="V11" s="14" t="s">
        <v>57</v>
      </c>
      <c r="W11" s="14" t="s">
        <v>57</v>
      </c>
      <c r="X11" s="14" t="s">
        <v>57</v>
      </c>
      <c r="Y11" s="14" t="s">
        <v>57</v>
      </c>
      <c r="Z11" s="14" t="s">
        <v>57</v>
      </c>
      <c r="AA11" s="14" t="s">
        <v>57</v>
      </c>
      <c r="AB11" s="14" t="str">
        <f t="shared" si="2"/>
        <v>WO</v>
      </c>
      <c r="AC11" s="14" t="s">
        <v>57</v>
      </c>
      <c r="AD11" s="14" t="s">
        <v>57</v>
      </c>
      <c r="AE11" s="14" t="s">
        <v>57</v>
      </c>
      <c r="AF11" s="14" t="s">
        <v>57</v>
      </c>
      <c r="AG11" s="14" t="s">
        <v>57</v>
      </c>
      <c r="AH11" s="14" t="s">
        <v>57</v>
      </c>
      <c r="AI11" s="14" t="str">
        <f t="shared" si="2"/>
        <v>WO</v>
      </c>
      <c r="AJ11" s="14" t="s">
        <v>59</v>
      </c>
      <c r="AK11" s="14" t="s">
        <v>57</v>
      </c>
      <c r="AL11" s="14" t="s">
        <v>57</v>
      </c>
      <c r="AM11" s="14" t="s">
        <v>57</v>
      </c>
      <c r="AN11" s="32"/>
      <c r="AO11" s="39"/>
      <c r="AR11" s="43"/>
      <c r="AS11" s="22">
        <v>4</v>
      </c>
      <c r="AT11" s="14" t="s">
        <v>23</v>
      </c>
      <c r="AU11" s="14" t="str">
        <f t="shared" si="3"/>
        <v>April</v>
      </c>
      <c r="AV11" s="10" t="s">
        <v>6</v>
      </c>
      <c r="AW11" s="22">
        <f t="shared" si="4"/>
        <v>25</v>
      </c>
      <c r="AX11" s="22">
        <f t="shared" si="5"/>
        <v>1</v>
      </c>
      <c r="AY11" s="22">
        <f t="shared" si="6"/>
        <v>0</v>
      </c>
      <c r="AZ11" s="22">
        <f t="shared" si="7"/>
        <v>4</v>
      </c>
      <c r="BA11" s="22">
        <f t="shared" si="8"/>
        <v>30</v>
      </c>
      <c r="BB11" s="22">
        <f>JanMonthlyReport716[[#This Row],[Days]]-JanMonthlyReport716[[#This Row],[Absent]]</f>
        <v>29</v>
      </c>
      <c r="BC11" s="23">
        <v>75000</v>
      </c>
      <c r="BD11" s="23">
        <f>JanMonthlyReport716[[#This Row],[Basic Salary]]/JanMonthlyReport716[[#This Row],[Days]]</f>
        <v>2500</v>
      </c>
      <c r="BE11" s="23">
        <f>JanMonthlyReport716[[#This Row],[Per Day Salary]]*JanMonthlyReport716[[#This Row],[Absent]]</f>
        <v>2500</v>
      </c>
      <c r="BF11" s="26">
        <f>JanMonthlyReport716[[#This Row],[Basic Salary]]-JanMonthlyReport716[[#This Row],[Deduction]]</f>
        <v>72500</v>
      </c>
      <c r="BG11" s="21"/>
      <c r="BH11" s="43"/>
    </row>
    <row r="12" spans="1:60" x14ac:dyDescent="0.25">
      <c r="A12"/>
      <c r="B12"/>
      <c r="E12" s="39"/>
      <c r="F12" s="24">
        <v>5</v>
      </c>
      <c r="G12" s="14" t="s">
        <v>24</v>
      </c>
      <c r="H12" s="10" t="s">
        <v>7</v>
      </c>
      <c r="I12" s="15">
        <f t="shared" si="9"/>
        <v>4</v>
      </c>
      <c r="J12" s="14" t="s">
        <v>57</v>
      </c>
      <c r="K12" s="14" t="s">
        <v>57</v>
      </c>
      <c r="L12" s="14" t="s">
        <v>57</v>
      </c>
      <c r="M12" s="14" t="s">
        <v>57</v>
      </c>
      <c r="N12" s="14" t="str">
        <f t="shared" si="2"/>
        <v>WO</v>
      </c>
      <c r="O12" s="14" t="s">
        <v>57</v>
      </c>
      <c r="P12" s="14" t="s">
        <v>57</v>
      </c>
      <c r="Q12" s="14" t="s">
        <v>57</v>
      </c>
      <c r="R12" s="14" t="s">
        <v>57</v>
      </c>
      <c r="S12" s="14" t="s">
        <v>57</v>
      </c>
      <c r="T12" s="14" t="s">
        <v>57</v>
      </c>
      <c r="U12" s="14" t="str">
        <f t="shared" si="2"/>
        <v>WO</v>
      </c>
      <c r="V12" s="14" t="s">
        <v>57</v>
      </c>
      <c r="W12" s="14" t="s">
        <v>57</v>
      </c>
      <c r="X12" s="14" t="s">
        <v>57</v>
      </c>
      <c r="Y12" s="14" t="s">
        <v>57</v>
      </c>
      <c r="Z12" s="14" t="s">
        <v>57</v>
      </c>
      <c r="AA12" s="14" t="s">
        <v>57</v>
      </c>
      <c r="AB12" s="14" t="str">
        <f t="shared" si="2"/>
        <v>WO</v>
      </c>
      <c r="AC12" s="14" t="s">
        <v>57</v>
      </c>
      <c r="AD12" s="14" t="s">
        <v>57</v>
      </c>
      <c r="AE12" s="14" t="s">
        <v>57</v>
      </c>
      <c r="AF12" s="14" t="s">
        <v>57</v>
      </c>
      <c r="AG12" s="14" t="s">
        <v>57</v>
      </c>
      <c r="AH12" s="14" t="s">
        <v>57</v>
      </c>
      <c r="AI12" s="14" t="str">
        <f t="shared" si="2"/>
        <v>WO</v>
      </c>
      <c r="AJ12" s="14" t="s">
        <v>57</v>
      </c>
      <c r="AK12" s="14" t="s">
        <v>57</v>
      </c>
      <c r="AL12" s="14" t="s">
        <v>57</v>
      </c>
      <c r="AM12" s="14" t="s">
        <v>57</v>
      </c>
      <c r="AN12" s="32"/>
      <c r="AO12" s="39"/>
      <c r="AR12" s="43"/>
      <c r="AS12" s="22">
        <v>5</v>
      </c>
      <c r="AT12" s="14" t="s">
        <v>24</v>
      </c>
      <c r="AU12" s="14" t="str">
        <f t="shared" si="3"/>
        <v>April</v>
      </c>
      <c r="AV12" s="10" t="s">
        <v>7</v>
      </c>
      <c r="AW12" s="22">
        <f t="shared" si="4"/>
        <v>26</v>
      </c>
      <c r="AX12" s="22">
        <f t="shared" si="5"/>
        <v>0</v>
      </c>
      <c r="AY12" s="22">
        <f t="shared" si="6"/>
        <v>0</v>
      </c>
      <c r="AZ12" s="22">
        <f t="shared" si="7"/>
        <v>4</v>
      </c>
      <c r="BA12" s="22">
        <f t="shared" si="8"/>
        <v>30</v>
      </c>
      <c r="BB12" s="22">
        <f>JanMonthlyReport716[[#This Row],[Days]]-JanMonthlyReport716[[#This Row],[Absent]]</f>
        <v>30</v>
      </c>
      <c r="BC12" s="23">
        <v>16000</v>
      </c>
      <c r="BD12" s="23">
        <f>JanMonthlyReport716[[#This Row],[Basic Salary]]/JanMonthlyReport716[[#This Row],[Days]]</f>
        <v>533.33333333333337</v>
      </c>
      <c r="BE12" s="23">
        <f>JanMonthlyReport716[[#This Row],[Per Day Salary]]*JanMonthlyReport716[[#This Row],[Absent]]</f>
        <v>0</v>
      </c>
      <c r="BF12" s="26">
        <f>JanMonthlyReport716[[#This Row],[Basic Salary]]-JanMonthlyReport716[[#This Row],[Deduction]]</f>
        <v>16000</v>
      </c>
      <c r="BG12" s="21"/>
      <c r="BH12" s="43"/>
    </row>
    <row r="13" spans="1:60" x14ac:dyDescent="0.25">
      <c r="A13"/>
      <c r="B13"/>
      <c r="E13" s="39"/>
      <c r="F13" s="24">
        <v>6</v>
      </c>
      <c r="G13" s="14" t="s">
        <v>25</v>
      </c>
      <c r="H13" s="10" t="s">
        <v>8</v>
      </c>
      <c r="I13" s="15">
        <f t="shared" si="9"/>
        <v>4</v>
      </c>
      <c r="J13" s="14" t="s">
        <v>59</v>
      </c>
      <c r="K13" s="14" t="s">
        <v>57</v>
      </c>
      <c r="L13" s="14" t="s">
        <v>57</v>
      </c>
      <c r="M13" s="14" t="s">
        <v>57</v>
      </c>
      <c r="N13" s="14" t="str">
        <f t="shared" si="2"/>
        <v>WO</v>
      </c>
      <c r="O13" s="14" t="s">
        <v>57</v>
      </c>
      <c r="P13" s="14" t="s">
        <v>57</v>
      </c>
      <c r="Q13" s="14" t="s">
        <v>57</v>
      </c>
      <c r="R13" s="14" t="s">
        <v>57</v>
      </c>
      <c r="S13" s="14" t="s">
        <v>57</v>
      </c>
      <c r="T13" s="14" t="s">
        <v>57</v>
      </c>
      <c r="U13" s="14" t="str">
        <f t="shared" si="2"/>
        <v>WO</v>
      </c>
      <c r="V13" s="14" t="s">
        <v>57</v>
      </c>
      <c r="W13" s="14" t="s">
        <v>57</v>
      </c>
      <c r="X13" s="14" t="s">
        <v>57</v>
      </c>
      <c r="Y13" s="14" t="s">
        <v>57</v>
      </c>
      <c r="Z13" s="14" t="s">
        <v>57</v>
      </c>
      <c r="AA13" s="14" t="s">
        <v>57</v>
      </c>
      <c r="AB13" s="14" t="str">
        <f t="shared" si="2"/>
        <v>WO</v>
      </c>
      <c r="AC13" s="14" t="s">
        <v>57</v>
      </c>
      <c r="AD13" s="14" t="s">
        <v>57</v>
      </c>
      <c r="AE13" s="14" t="s">
        <v>57</v>
      </c>
      <c r="AF13" s="14" t="s">
        <v>57</v>
      </c>
      <c r="AG13" s="14" t="s">
        <v>57</v>
      </c>
      <c r="AH13" s="14" t="s">
        <v>57</v>
      </c>
      <c r="AI13" s="14" t="str">
        <f t="shared" si="2"/>
        <v>WO</v>
      </c>
      <c r="AJ13" s="14" t="s">
        <v>57</v>
      </c>
      <c r="AK13" s="14" t="s">
        <v>57</v>
      </c>
      <c r="AL13" s="14" t="s">
        <v>57</v>
      </c>
      <c r="AM13" s="14" t="s">
        <v>57</v>
      </c>
      <c r="AN13" s="32"/>
      <c r="AO13" s="39"/>
      <c r="AR13" s="43"/>
      <c r="AS13" s="22">
        <v>6</v>
      </c>
      <c r="AT13" s="14" t="s">
        <v>25</v>
      </c>
      <c r="AU13" s="14" t="str">
        <f t="shared" si="3"/>
        <v>April</v>
      </c>
      <c r="AV13" s="10" t="s">
        <v>8</v>
      </c>
      <c r="AW13" s="22">
        <f t="shared" si="4"/>
        <v>25</v>
      </c>
      <c r="AX13" s="22">
        <f t="shared" si="5"/>
        <v>1</v>
      </c>
      <c r="AY13" s="22">
        <f t="shared" si="6"/>
        <v>0</v>
      </c>
      <c r="AZ13" s="22">
        <f t="shared" si="7"/>
        <v>4</v>
      </c>
      <c r="BA13" s="22">
        <f t="shared" si="8"/>
        <v>30</v>
      </c>
      <c r="BB13" s="22">
        <f>JanMonthlyReport716[[#This Row],[Days]]-JanMonthlyReport716[[#This Row],[Absent]]</f>
        <v>29</v>
      </c>
      <c r="BC13" s="23">
        <v>12000</v>
      </c>
      <c r="BD13" s="23">
        <f>JanMonthlyReport716[[#This Row],[Basic Salary]]/JanMonthlyReport716[[#This Row],[Days]]</f>
        <v>400</v>
      </c>
      <c r="BE13" s="23">
        <f>JanMonthlyReport716[[#This Row],[Per Day Salary]]*JanMonthlyReport716[[#This Row],[Absent]]</f>
        <v>400</v>
      </c>
      <c r="BF13" s="26">
        <f>JanMonthlyReport716[[#This Row],[Basic Salary]]-JanMonthlyReport716[[#This Row],[Deduction]]</f>
        <v>11600</v>
      </c>
      <c r="BG13" s="21"/>
      <c r="BH13" s="43"/>
    </row>
    <row r="14" spans="1:60" x14ac:dyDescent="0.25">
      <c r="A14"/>
      <c r="B14"/>
      <c r="E14" s="39"/>
      <c r="F14" s="24">
        <v>7</v>
      </c>
      <c r="G14" s="14" t="s">
        <v>26</v>
      </c>
      <c r="H14" s="10" t="s">
        <v>9</v>
      </c>
      <c r="I14" s="15">
        <f t="shared" si="9"/>
        <v>4</v>
      </c>
      <c r="J14" s="14" t="s">
        <v>57</v>
      </c>
      <c r="K14" s="14" t="s">
        <v>57</v>
      </c>
      <c r="L14" s="14" t="s">
        <v>57</v>
      </c>
      <c r="M14" s="14" t="s">
        <v>57</v>
      </c>
      <c r="N14" s="14" t="str">
        <f t="shared" si="2"/>
        <v>WO</v>
      </c>
      <c r="O14" s="14" t="s">
        <v>57</v>
      </c>
      <c r="P14" s="14" t="s">
        <v>57</v>
      </c>
      <c r="Q14" s="14" t="s">
        <v>59</v>
      </c>
      <c r="R14" s="14" t="s">
        <v>57</v>
      </c>
      <c r="S14" s="14" t="s">
        <v>57</v>
      </c>
      <c r="T14" s="14" t="s">
        <v>57</v>
      </c>
      <c r="U14" s="14" t="str">
        <f t="shared" si="2"/>
        <v>WO</v>
      </c>
      <c r="V14" s="14" t="s">
        <v>57</v>
      </c>
      <c r="W14" s="14" t="s">
        <v>57</v>
      </c>
      <c r="X14" s="14" t="s">
        <v>57</v>
      </c>
      <c r="Y14" s="14" t="s">
        <v>57</v>
      </c>
      <c r="Z14" s="14" t="s">
        <v>57</v>
      </c>
      <c r="AA14" s="14" t="s">
        <v>59</v>
      </c>
      <c r="AB14" s="14" t="str">
        <f t="shared" si="2"/>
        <v>WO</v>
      </c>
      <c r="AC14" s="14" t="s">
        <v>57</v>
      </c>
      <c r="AD14" s="14" t="s">
        <v>57</v>
      </c>
      <c r="AE14" s="14" t="s">
        <v>57</v>
      </c>
      <c r="AF14" s="14" t="s">
        <v>57</v>
      </c>
      <c r="AG14" s="14" t="s">
        <v>57</v>
      </c>
      <c r="AH14" s="14" t="s">
        <v>57</v>
      </c>
      <c r="AI14" s="14" t="str">
        <f t="shared" si="2"/>
        <v>WO</v>
      </c>
      <c r="AJ14" s="14" t="s">
        <v>57</v>
      </c>
      <c r="AK14" s="14" t="s">
        <v>57</v>
      </c>
      <c r="AL14" s="14" t="s">
        <v>57</v>
      </c>
      <c r="AM14" s="14" t="s">
        <v>57</v>
      </c>
      <c r="AN14" s="32"/>
      <c r="AO14" s="39"/>
      <c r="AR14" s="43"/>
      <c r="AS14" s="22">
        <v>7</v>
      </c>
      <c r="AT14" s="14" t="s">
        <v>26</v>
      </c>
      <c r="AU14" s="14" t="str">
        <f t="shared" si="3"/>
        <v>April</v>
      </c>
      <c r="AV14" s="10" t="s">
        <v>9</v>
      </c>
      <c r="AW14" s="22">
        <f t="shared" si="4"/>
        <v>24</v>
      </c>
      <c r="AX14" s="22">
        <f t="shared" si="5"/>
        <v>2</v>
      </c>
      <c r="AY14" s="22">
        <f t="shared" si="6"/>
        <v>0</v>
      </c>
      <c r="AZ14" s="22">
        <f t="shared" si="7"/>
        <v>4</v>
      </c>
      <c r="BA14" s="22">
        <f t="shared" si="8"/>
        <v>30</v>
      </c>
      <c r="BB14" s="22">
        <f>JanMonthlyReport716[[#This Row],[Days]]-JanMonthlyReport716[[#This Row],[Absent]]</f>
        <v>28</v>
      </c>
      <c r="BC14" s="23">
        <v>13000</v>
      </c>
      <c r="BD14" s="23">
        <f>JanMonthlyReport716[[#This Row],[Basic Salary]]/JanMonthlyReport716[[#This Row],[Days]]</f>
        <v>433.33333333333331</v>
      </c>
      <c r="BE14" s="23">
        <f>JanMonthlyReport716[[#This Row],[Per Day Salary]]*JanMonthlyReport716[[#This Row],[Absent]]</f>
        <v>866.66666666666663</v>
      </c>
      <c r="BF14" s="26">
        <f>JanMonthlyReport716[[#This Row],[Basic Salary]]-JanMonthlyReport716[[#This Row],[Deduction]]</f>
        <v>12133.333333333334</v>
      </c>
      <c r="BG14" s="21"/>
      <c r="BH14" s="43"/>
    </row>
    <row r="15" spans="1:60" x14ac:dyDescent="0.25">
      <c r="A15"/>
      <c r="B15"/>
      <c r="E15" s="39"/>
      <c r="F15" s="24">
        <v>8</v>
      </c>
      <c r="G15" s="14" t="s">
        <v>27</v>
      </c>
      <c r="H15" s="10" t="s">
        <v>11</v>
      </c>
      <c r="I15" s="15">
        <f t="shared" si="9"/>
        <v>4</v>
      </c>
      <c r="J15" s="14" t="s">
        <v>57</v>
      </c>
      <c r="K15" s="14" t="s">
        <v>57</v>
      </c>
      <c r="L15" s="14" t="s">
        <v>57</v>
      </c>
      <c r="M15" s="14" t="s">
        <v>57</v>
      </c>
      <c r="N15" s="14" t="str">
        <f t="shared" si="2"/>
        <v>WO</v>
      </c>
      <c r="O15" s="14" t="s">
        <v>57</v>
      </c>
      <c r="P15" s="14" t="s">
        <v>57</v>
      </c>
      <c r="Q15" s="14" t="s">
        <v>57</v>
      </c>
      <c r="R15" s="14" t="s">
        <v>57</v>
      </c>
      <c r="S15" s="14" t="s">
        <v>57</v>
      </c>
      <c r="T15" s="14" t="s">
        <v>57</v>
      </c>
      <c r="U15" s="14" t="str">
        <f t="shared" si="2"/>
        <v>WO</v>
      </c>
      <c r="V15" s="14" t="s">
        <v>57</v>
      </c>
      <c r="W15" s="14" t="s">
        <v>57</v>
      </c>
      <c r="X15" s="14" t="s">
        <v>57</v>
      </c>
      <c r="Y15" s="14" t="s">
        <v>57</v>
      </c>
      <c r="Z15" s="14" t="s">
        <v>57</v>
      </c>
      <c r="AA15" s="14" t="s">
        <v>57</v>
      </c>
      <c r="AB15" s="14" t="str">
        <f t="shared" si="2"/>
        <v>WO</v>
      </c>
      <c r="AC15" s="14" t="s">
        <v>57</v>
      </c>
      <c r="AD15" s="14" t="s">
        <v>57</v>
      </c>
      <c r="AE15" s="14" t="s">
        <v>57</v>
      </c>
      <c r="AF15" s="14" t="s">
        <v>57</v>
      </c>
      <c r="AG15" s="14" t="s">
        <v>57</v>
      </c>
      <c r="AH15" s="14" t="s">
        <v>57</v>
      </c>
      <c r="AI15" s="14" t="str">
        <f t="shared" si="2"/>
        <v>WO</v>
      </c>
      <c r="AJ15" s="14" t="s">
        <v>57</v>
      </c>
      <c r="AK15" s="14" t="s">
        <v>57</v>
      </c>
      <c r="AL15" s="14" t="s">
        <v>57</v>
      </c>
      <c r="AM15" s="14" t="s">
        <v>59</v>
      </c>
      <c r="AN15" s="32"/>
      <c r="AO15" s="39"/>
      <c r="AR15" s="43"/>
      <c r="AS15" s="22">
        <v>8</v>
      </c>
      <c r="AT15" s="14" t="s">
        <v>27</v>
      </c>
      <c r="AU15" s="14" t="str">
        <f t="shared" si="3"/>
        <v>April</v>
      </c>
      <c r="AV15" s="10" t="s">
        <v>11</v>
      </c>
      <c r="AW15" s="22">
        <f t="shared" si="4"/>
        <v>25</v>
      </c>
      <c r="AX15" s="22">
        <f t="shared" si="5"/>
        <v>1</v>
      </c>
      <c r="AY15" s="22">
        <f t="shared" si="6"/>
        <v>0</v>
      </c>
      <c r="AZ15" s="22">
        <f t="shared" si="7"/>
        <v>4</v>
      </c>
      <c r="BA15" s="22">
        <f t="shared" si="8"/>
        <v>30</v>
      </c>
      <c r="BB15" s="22">
        <f>JanMonthlyReport716[[#This Row],[Days]]-JanMonthlyReport716[[#This Row],[Absent]]</f>
        <v>29</v>
      </c>
      <c r="BC15" s="23">
        <v>8000</v>
      </c>
      <c r="BD15" s="23">
        <f>JanMonthlyReport716[[#This Row],[Basic Salary]]/JanMonthlyReport716[[#This Row],[Days]]</f>
        <v>266.66666666666669</v>
      </c>
      <c r="BE15" s="23">
        <f>JanMonthlyReport716[[#This Row],[Per Day Salary]]*JanMonthlyReport716[[#This Row],[Absent]]</f>
        <v>266.66666666666669</v>
      </c>
      <c r="BF15" s="26">
        <f>JanMonthlyReport716[[#This Row],[Basic Salary]]-JanMonthlyReport716[[#This Row],[Deduction]]</f>
        <v>7733.333333333333</v>
      </c>
      <c r="BG15" s="21"/>
      <c r="BH15" s="43"/>
    </row>
    <row r="16" spans="1:60" x14ac:dyDescent="0.25">
      <c r="A16"/>
      <c r="B16"/>
      <c r="E16" s="39"/>
      <c r="F16" s="24">
        <v>9</v>
      </c>
      <c r="G16" s="14" t="s">
        <v>28</v>
      </c>
      <c r="H16" s="10" t="s">
        <v>10</v>
      </c>
      <c r="I16" s="15">
        <f t="shared" si="9"/>
        <v>4</v>
      </c>
      <c r="J16" s="14" t="s">
        <v>57</v>
      </c>
      <c r="K16" s="14" t="s">
        <v>57</v>
      </c>
      <c r="L16" s="14" t="s">
        <v>57</v>
      </c>
      <c r="M16" s="14" t="s">
        <v>57</v>
      </c>
      <c r="N16" s="14" t="str">
        <f t="shared" si="2"/>
        <v>WO</v>
      </c>
      <c r="O16" s="14" t="s">
        <v>57</v>
      </c>
      <c r="P16" s="14" t="s">
        <v>57</v>
      </c>
      <c r="Q16" s="14" t="s">
        <v>57</v>
      </c>
      <c r="R16" s="14" t="s">
        <v>57</v>
      </c>
      <c r="S16" s="14" t="s">
        <v>57</v>
      </c>
      <c r="T16" s="14" t="s">
        <v>57</v>
      </c>
      <c r="U16" s="14" t="str">
        <f t="shared" si="2"/>
        <v>WO</v>
      </c>
      <c r="V16" s="14" t="s">
        <v>57</v>
      </c>
      <c r="W16" s="14" t="s">
        <v>57</v>
      </c>
      <c r="X16" s="14" t="s">
        <v>57</v>
      </c>
      <c r="Y16" s="14" t="s">
        <v>57</v>
      </c>
      <c r="Z16" s="14" t="s">
        <v>57</v>
      </c>
      <c r="AA16" s="14" t="s">
        <v>57</v>
      </c>
      <c r="AB16" s="14" t="str">
        <f t="shared" ref="Z16:AN24" si="10">IF(AB$6 = "sun","WO","")</f>
        <v>WO</v>
      </c>
      <c r="AC16" s="14" t="s">
        <v>57</v>
      </c>
      <c r="AD16" s="14" t="s">
        <v>57</v>
      </c>
      <c r="AE16" s="14" t="s">
        <v>59</v>
      </c>
      <c r="AF16" s="14" t="s">
        <v>57</v>
      </c>
      <c r="AG16" s="14" t="s">
        <v>57</v>
      </c>
      <c r="AH16" s="14" t="s">
        <v>57</v>
      </c>
      <c r="AI16" s="14" t="str">
        <f t="shared" si="10"/>
        <v>WO</v>
      </c>
      <c r="AJ16" s="14" t="s">
        <v>57</v>
      </c>
      <c r="AK16" s="14" t="s">
        <v>57</v>
      </c>
      <c r="AL16" s="14" t="s">
        <v>57</v>
      </c>
      <c r="AM16" s="14" t="s">
        <v>57</v>
      </c>
      <c r="AN16" s="32"/>
      <c r="AO16" s="39"/>
      <c r="AR16" s="43"/>
      <c r="AS16" s="22">
        <v>9</v>
      </c>
      <c r="AT16" s="14" t="s">
        <v>28</v>
      </c>
      <c r="AU16" s="14" t="str">
        <f t="shared" si="3"/>
        <v>April</v>
      </c>
      <c r="AV16" s="10" t="s">
        <v>10</v>
      </c>
      <c r="AW16" s="22">
        <f t="shared" si="4"/>
        <v>25</v>
      </c>
      <c r="AX16" s="22">
        <f t="shared" si="5"/>
        <v>1</v>
      </c>
      <c r="AY16" s="22">
        <f t="shared" si="6"/>
        <v>0</v>
      </c>
      <c r="AZ16" s="22">
        <f t="shared" si="7"/>
        <v>4</v>
      </c>
      <c r="BA16" s="22">
        <f t="shared" si="8"/>
        <v>30</v>
      </c>
      <c r="BB16" s="22">
        <f>JanMonthlyReport716[[#This Row],[Days]]-JanMonthlyReport716[[#This Row],[Absent]]</f>
        <v>29</v>
      </c>
      <c r="BC16" s="23">
        <v>10000</v>
      </c>
      <c r="BD16" s="23">
        <f>JanMonthlyReport716[[#This Row],[Basic Salary]]/JanMonthlyReport716[[#This Row],[Days]]</f>
        <v>333.33333333333331</v>
      </c>
      <c r="BE16" s="23">
        <f>JanMonthlyReport716[[#This Row],[Per Day Salary]]*JanMonthlyReport716[[#This Row],[Absent]]</f>
        <v>333.33333333333331</v>
      </c>
      <c r="BF16" s="26">
        <f>JanMonthlyReport716[[#This Row],[Basic Salary]]-JanMonthlyReport716[[#This Row],[Deduction]]</f>
        <v>9666.6666666666661</v>
      </c>
      <c r="BG16" s="21"/>
      <c r="BH16" s="43"/>
    </row>
    <row r="17" spans="1:60" x14ac:dyDescent="0.25">
      <c r="A17"/>
      <c r="B17"/>
      <c r="E17" s="39"/>
      <c r="F17" s="24">
        <v>10</v>
      </c>
      <c r="G17" s="14" t="s">
        <v>29</v>
      </c>
      <c r="H17" s="10" t="s">
        <v>12</v>
      </c>
      <c r="I17" s="15">
        <f t="shared" si="9"/>
        <v>4</v>
      </c>
      <c r="J17" s="14" t="s">
        <v>57</v>
      </c>
      <c r="K17" s="14" t="s">
        <v>57</v>
      </c>
      <c r="L17" s="14" t="s">
        <v>57</v>
      </c>
      <c r="M17" s="14" t="s">
        <v>57</v>
      </c>
      <c r="N17" s="14" t="str">
        <f t="shared" ref="J9:Y24" si="11">IF(N$6 = "sun","WO","")</f>
        <v>WO</v>
      </c>
      <c r="O17" s="14" t="s">
        <v>57</v>
      </c>
      <c r="P17" s="14" t="s">
        <v>57</v>
      </c>
      <c r="Q17" s="14" t="s">
        <v>57</v>
      </c>
      <c r="R17" s="14" t="s">
        <v>57</v>
      </c>
      <c r="S17" s="14" t="s">
        <v>57</v>
      </c>
      <c r="T17" s="14" t="s">
        <v>57</v>
      </c>
      <c r="U17" s="14" t="str">
        <f t="shared" si="11"/>
        <v>WO</v>
      </c>
      <c r="V17" s="14" t="s">
        <v>57</v>
      </c>
      <c r="W17" s="14" t="s">
        <v>57</v>
      </c>
      <c r="X17" s="14" t="s">
        <v>57</v>
      </c>
      <c r="Y17" s="14" t="s">
        <v>57</v>
      </c>
      <c r="Z17" s="14" t="s">
        <v>57</v>
      </c>
      <c r="AA17" s="14" t="s">
        <v>57</v>
      </c>
      <c r="AB17" s="14" t="str">
        <f t="shared" si="10"/>
        <v>WO</v>
      </c>
      <c r="AC17" s="14" t="s">
        <v>57</v>
      </c>
      <c r="AD17" s="14" t="s">
        <v>57</v>
      </c>
      <c r="AE17" s="14" t="s">
        <v>57</v>
      </c>
      <c r="AF17" s="14" t="s">
        <v>57</v>
      </c>
      <c r="AG17" s="14" t="s">
        <v>57</v>
      </c>
      <c r="AH17" s="14" t="s">
        <v>57</v>
      </c>
      <c r="AI17" s="14" t="str">
        <f t="shared" si="10"/>
        <v>WO</v>
      </c>
      <c r="AJ17" s="14" t="s">
        <v>57</v>
      </c>
      <c r="AK17" s="14" t="s">
        <v>59</v>
      </c>
      <c r="AL17" s="14" t="s">
        <v>57</v>
      </c>
      <c r="AM17" s="14" t="s">
        <v>57</v>
      </c>
      <c r="AN17" s="32"/>
      <c r="AO17" s="39"/>
      <c r="AR17" s="43"/>
      <c r="AS17" s="22">
        <v>10</v>
      </c>
      <c r="AT17" s="14" t="s">
        <v>29</v>
      </c>
      <c r="AU17" s="14" t="str">
        <f t="shared" si="3"/>
        <v>April</v>
      </c>
      <c r="AV17" s="10" t="s">
        <v>12</v>
      </c>
      <c r="AW17" s="22">
        <f t="shared" si="4"/>
        <v>25</v>
      </c>
      <c r="AX17" s="22">
        <f t="shared" si="5"/>
        <v>1</v>
      </c>
      <c r="AY17" s="22">
        <f t="shared" si="6"/>
        <v>0</v>
      </c>
      <c r="AZ17" s="22">
        <f t="shared" si="7"/>
        <v>4</v>
      </c>
      <c r="BA17" s="22">
        <f t="shared" si="8"/>
        <v>30</v>
      </c>
      <c r="BB17" s="22">
        <f>JanMonthlyReport716[[#This Row],[Days]]-JanMonthlyReport716[[#This Row],[Absent]]</f>
        <v>29</v>
      </c>
      <c r="BC17" s="23">
        <v>13000</v>
      </c>
      <c r="BD17" s="23">
        <f>JanMonthlyReport716[[#This Row],[Basic Salary]]/JanMonthlyReport716[[#This Row],[Days]]</f>
        <v>433.33333333333331</v>
      </c>
      <c r="BE17" s="23">
        <f>JanMonthlyReport716[[#This Row],[Per Day Salary]]*JanMonthlyReport716[[#This Row],[Absent]]</f>
        <v>433.33333333333331</v>
      </c>
      <c r="BF17" s="26">
        <f>JanMonthlyReport716[[#This Row],[Basic Salary]]-JanMonthlyReport716[[#This Row],[Deduction]]</f>
        <v>12566.666666666666</v>
      </c>
      <c r="BG17" s="21"/>
      <c r="BH17" s="43"/>
    </row>
    <row r="18" spans="1:60" x14ac:dyDescent="0.25">
      <c r="A18"/>
      <c r="B18"/>
      <c r="E18" s="39"/>
      <c r="F18" s="24">
        <v>11</v>
      </c>
      <c r="G18" s="14" t="s">
        <v>30</v>
      </c>
      <c r="H18" s="10" t="s">
        <v>13</v>
      </c>
      <c r="I18" s="15">
        <f t="shared" si="9"/>
        <v>4</v>
      </c>
      <c r="J18" s="14" t="s">
        <v>57</v>
      </c>
      <c r="K18" s="14" t="s">
        <v>57</v>
      </c>
      <c r="L18" s="14" t="s">
        <v>59</v>
      </c>
      <c r="M18" s="14" t="s">
        <v>57</v>
      </c>
      <c r="N18" s="14" t="str">
        <f t="shared" si="11"/>
        <v>WO</v>
      </c>
      <c r="O18" s="14" t="s">
        <v>57</v>
      </c>
      <c r="P18" s="14" t="s">
        <v>57</v>
      </c>
      <c r="Q18" s="14" t="s">
        <v>57</v>
      </c>
      <c r="R18" s="14" t="s">
        <v>57</v>
      </c>
      <c r="S18" s="14" t="s">
        <v>59</v>
      </c>
      <c r="T18" s="14" t="s">
        <v>57</v>
      </c>
      <c r="U18" s="14" t="str">
        <f t="shared" si="11"/>
        <v>WO</v>
      </c>
      <c r="V18" s="14" t="s">
        <v>57</v>
      </c>
      <c r="W18" s="14" t="s">
        <v>59</v>
      </c>
      <c r="X18" s="14" t="s">
        <v>57</v>
      </c>
      <c r="Y18" s="14" t="s">
        <v>57</v>
      </c>
      <c r="Z18" s="14" t="s">
        <v>57</v>
      </c>
      <c r="AA18" s="14" t="s">
        <v>57</v>
      </c>
      <c r="AB18" s="14" t="str">
        <f t="shared" si="10"/>
        <v>WO</v>
      </c>
      <c r="AC18" s="14" t="s">
        <v>57</v>
      </c>
      <c r="AD18" s="14" t="s">
        <v>57</v>
      </c>
      <c r="AE18" s="14" t="s">
        <v>57</v>
      </c>
      <c r="AF18" s="14" t="s">
        <v>57</v>
      </c>
      <c r="AG18" s="14" t="s">
        <v>57</v>
      </c>
      <c r="AH18" s="14" t="s">
        <v>57</v>
      </c>
      <c r="AI18" s="14" t="str">
        <f t="shared" si="10"/>
        <v>WO</v>
      </c>
      <c r="AJ18" s="14" t="s">
        <v>57</v>
      </c>
      <c r="AK18" s="14" t="s">
        <v>57</v>
      </c>
      <c r="AL18" s="14" t="s">
        <v>57</v>
      </c>
      <c r="AM18" s="14" t="s">
        <v>57</v>
      </c>
      <c r="AN18" s="32"/>
      <c r="AO18" s="39"/>
      <c r="AR18" s="43"/>
      <c r="AS18" s="22">
        <v>11</v>
      </c>
      <c r="AT18" s="14" t="s">
        <v>30</v>
      </c>
      <c r="AU18" s="14" t="str">
        <f t="shared" si="3"/>
        <v>April</v>
      </c>
      <c r="AV18" s="10" t="s">
        <v>13</v>
      </c>
      <c r="AW18" s="22">
        <f t="shared" si="4"/>
        <v>23</v>
      </c>
      <c r="AX18" s="22">
        <f t="shared" si="5"/>
        <v>3</v>
      </c>
      <c r="AY18" s="22">
        <f t="shared" si="6"/>
        <v>0</v>
      </c>
      <c r="AZ18" s="22">
        <f t="shared" si="7"/>
        <v>4</v>
      </c>
      <c r="BA18" s="22">
        <f t="shared" si="8"/>
        <v>30</v>
      </c>
      <c r="BB18" s="22">
        <f>JanMonthlyReport716[[#This Row],[Days]]-JanMonthlyReport716[[#This Row],[Absent]]</f>
        <v>27</v>
      </c>
      <c r="BC18" s="23">
        <v>10000</v>
      </c>
      <c r="BD18" s="23">
        <f>JanMonthlyReport716[[#This Row],[Basic Salary]]/JanMonthlyReport716[[#This Row],[Days]]</f>
        <v>333.33333333333331</v>
      </c>
      <c r="BE18" s="23">
        <f>JanMonthlyReport716[[#This Row],[Per Day Salary]]*JanMonthlyReport716[[#This Row],[Absent]]</f>
        <v>1000</v>
      </c>
      <c r="BF18" s="26">
        <f>JanMonthlyReport716[[#This Row],[Basic Salary]]-JanMonthlyReport716[[#This Row],[Deduction]]</f>
        <v>9000</v>
      </c>
      <c r="BG18" s="21"/>
      <c r="BH18" s="43"/>
    </row>
    <row r="19" spans="1:60" x14ac:dyDescent="0.25">
      <c r="A19"/>
      <c r="B19"/>
      <c r="E19" s="39"/>
      <c r="F19" s="24">
        <v>12</v>
      </c>
      <c r="G19" s="14" t="s">
        <v>31</v>
      </c>
      <c r="H19" s="10" t="s">
        <v>14</v>
      </c>
      <c r="I19" s="15">
        <f t="shared" si="9"/>
        <v>4</v>
      </c>
      <c r="J19" s="14" t="s">
        <v>57</v>
      </c>
      <c r="K19" s="14" t="s">
        <v>57</v>
      </c>
      <c r="L19" s="14" t="s">
        <v>57</v>
      </c>
      <c r="M19" s="14" t="s">
        <v>57</v>
      </c>
      <c r="N19" s="14" t="str">
        <f t="shared" si="11"/>
        <v>WO</v>
      </c>
      <c r="O19" s="14" t="s">
        <v>57</v>
      </c>
      <c r="P19" s="14" t="s">
        <v>57</v>
      </c>
      <c r="Q19" s="14" t="s">
        <v>57</v>
      </c>
      <c r="R19" s="14" t="s">
        <v>57</v>
      </c>
      <c r="S19" s="14" t="s">
        <v>57</v>
      </c>
      <c r="T19" s="14" t="s">
        <v>57</v>
      </c>
      <c r="U19" s="14" t="str">
        <f t="shared" si="11"/>
        <v>WO</v>
      </c>
      <c r="V19" s="14" t="s">
        <v>57</v>
      </c>
      <c r="W19" s="14" t="s">
        <v>57</v>
      </c>
      <c r="X19" s="14" t="s">
        <v>57</v>
      </c>
      <c r="Y19" s="14" t="s">
        <v>57</v>
      </c>
      <c r="Z19" s="14" t="s">
        <v>57</v>
      </c>
      <c r="AA19" s="14" t="s">
        <v>57</v>
      </c>
      <c r="AB19" s="14" t="str">
        <f t="shared" si="10"/>
        <v>WO</v>
      </c>
      <c r="AC19" s="14" t="s">
        <v>57</v>
      </c>
      <c r="AD19" s="14" t="s">
        <v>57</v>
      </c>
      <c r="AE19" s="14" t="s">
        <v>57</v>
      </c>
      <c r="AF19" s="14" t="s">
        <v>57</v>
      </c>
      <c r="AG19" s="14" t="s">
        <v>57</v>
      </c>
      <c r="AH19" s="14" t="s">
        <v>57</v>
      </c>
      <c r="AI19" s="14" t="str">
        <f t="shared" si="10"/>
        <v>WO</v>
      </c>
      <c r="AJ19" s="14" t="s">
        <v>57</v>
      </c>
      <c r="AK19" s="14" t="s">
        <v>57</v>
      </c>
      <c r="AL19" s="14" t="s">
        <v>57</v>
      </c>
      <c r="AM19" s="14" t="s">
        <v>57</v>
      </c>
      <c r="AN19" s="32"/>
      <c r="AO19" s="39"/>
      <c r="AR19" s="43"/>
      <c r="AS19" s="22">
        <v>12</v>
      </c>
      <c r="AT19" s="14" t="s">
        <v>31</v>
      </c>
      <c r="AU19" s="14" t="str">
        <f t="shared" si="3"/>
        <v>April</v>
      </c>
      <c r="AV19" s="10" t="s">
        <v>14</v>
      </c>
      <c r="AW19" s="22">
        <f t="shared" si="4"/>
        <v>26</v>
      </c>
      <c r="AX19" s="22">
        <f t="shared" si="5"/>
        <v>0</v>
      </c>
      <c r="AY19" s="22">
        <f t="shared" si="6"/>
        <v>0</v>
      </c>
      <c r="AZ19" s="22">
        <f t="shared" si="7"/>
        <v>4</v>
      </c>
      <c r="BA19" s="22">
        <f t="shared" si="8"/>
        <v>30</v>
      </c>
      <c r="BB19" s="22">
        <f>JanMonthlyReport716[[#This Row],[Days]]-JanMonthlyReport716[[#This Row],[Absent]]</f>
        <v>30</v>
      </c>
      <c r="BC19" s="23">
        <v>9000</v>
      </c>
      <c r="BD19" s="23">
        <f>JanMonthlyReport716[[#This Row],[Basic Salary]]/JanMonthlyReport716[[#This Row],[Days]]</f>
        <v>300</v>
      </c>
      <c r="BE19" s="23">
        <f>JanMonthlyReport716[[#This Row],[Per Day Salary]]*JanMonthlyReport716[[#This Row],[Absent]]</f>
        <v>0</v>
      </c>
      <c r="BF19" s="26">
        <f>JanMonthlyReport716[[#This Row],[Basic Salary]]-JanMonthlyReport716[[#This Row],[Deduction]]</f>
        <v>9000</v>
      </c>
      <c r="BG19" s="21"/>
      <c r="BH19" s="43"/>
    </row>
    <row r="20" spans="1:60" x14ac:dyDescent="0.25">
      <c r="A20"/>
      <c r="B20"/>
      <c r="E20" s="39"/>
      <c r="F20" s="24">
        <v>13</v>
      </c>
      <c r="G20" s="14" t="s">
        <v>32</v>
      </c>
      <c r="H20" s="10" t="s">
        <v>15</v>
      </c>
      <c r="I20" s="15">
        <f t="shared" si="9"/>
        <v>4</v>
      </c>
      <c r="J20" s="14" t="s">
        <v>57</v>
      </c>
      <c r="K20" s="14" t="s">
        <v>57</v>
      </c>
      <c r="L20" s="14" t="s">
        <v>57</v>
      </c>
      <c r="M20" s="14" t="s">
        <v>57</v>
      </c>
      <c r="N20" s="14" t="str">
        <f t="shared" si="11"/>
        <v>WO</v>
      </c>
      <c r="O20" s="14" t="s">
        <v>57</v>
      </c>
      <c r="P20" s="14" t="s">
        <v>57</v>
      </c>
      <c r="Q20" s="14" t="s">
        <v>57</v>
      </c>
      <c r="R20" s="14" t="s">
        <v>57</v>
      </c>
      <c r="S20" s="14" t="s">
        <v>57</v>
      </c>
      <c r="T20" s="14" t="s">
        <v>57</v>
      </c>
      <c r="U20" s="14" t="str">
        <f t="shared" si="11"/>
        <v>WO</v>
      </c>
      <c r="V20" s="14" t="s">
        <v>57</v>
      </c>
      <c r="W20" s="14" t="s">
        <v>57</v>
      </c>
      <c r="X20" s="14" t="s">
        <v>57</v>
      </c>
      <c r="Y20" s="14" t="s">
        <v>57</v>
      </c>
      <c r="Z20" s="14" t="s">
        <v>57</v>
      </c>
      <c r="AA20" s="14" t="s">
        <v>57</v>
      </c>
      <c r="AB20" s="14" t="str">
        <f t="shared" si="10"/>
        <v>WO</v>
      </c>
      <c r="AC20" s="14" t="s">
        <v>57</v>
      </c>
      <c r="AD20" s="14" t="s">
        <v>57</v>
      </c>
      <c r="AE20" s="14" t="s">
        <v>57</v>
      </c>
      <c r="AF20" s="14" t="s">
        <v>57</v>
      </c>
      <c r="AG20" s="14" t="s">
        <v>57</v>
      </c>
      <c r="AH20" s="14" t="s">
        <v>57</v>
      </c>
      <c r="AI20" s="14" t="str">
        <f t="shared" si="10"/>
        <v>WO</v>
      </c>
      <c r="AJ20" s="14" t="s">
        <v>57</v>
      </c>
      <c r="AK20" s="14" t="s">
        <v>57</v>
      </c>
      <c r="AL20" s="14" t="s">
        <v>57</v>
      </c>
      <c r="AM20" s="14" t="s">
        <v>57</v>
      </c>
      <c r="AN20" s="32"/>
      <c r="AO20" s="39"/>
      <c r="AR20" s="43"/>
      <c r="AS20" s="22">
        <v>13</v>
      </c>
      <c r="AT20" s="14" t="s">
        <v>32</v>
      </c>
      <c r="AU20" s="14" t="str">
        <f t="shared" si="3"/>
        <v>April</v>
      </c>
      <c r="AV20" s="10" t="s">
        <v>15</v>
      </c>
      <c r="AW20" s="22">
        <f t="shared" si="4"/>
        <v>26</v>
      </c>
      <c r="AX20" s="22">
        <f t="shared" si="5"/>
        <v>0</v>
      </c>
      <c r="AY20" s="22">
        <f t="shared" si="6"/>
        <v>0</v>
      </c>
      <c r="AZ20" s="22">
        <f t="shared" si="7"/>
        <v>4</v>
      </c>
      <c r="BA20" s="22">
        <f t="shared" si="8"/>
        <v>30</v>
      </c>
      <c r="BB20" s="22">
        <f>JanMonthlyReport716[[#This Row],[Days]]-JanMonthlyReport716[[#This Row],[Absent]]</f>
        <v>30</v>
      </c>
      <c r="BC20" s="23">
        <v>10000</v>
      </c>
      <c r="BD20" s="23">
        <f>JanMonthlyReport716[[#This Row],[Basic Salary]]/JanMonthlyReport716[[#This Row],[Days]]</f>
        <v>333.33333333333331</v>
      </c>
      <c r="BE20" s="23">
        <f>JanMonthlyReport716[[#This Row],[Per Day Salary]]*JanMonthlyReport716[[#This Row],[Absent]]</f>
        <v>0</v>
      </c>
      <c r="BF20" s="26">
        <f>JanMonthlyReport716[[#This Row],[Basic Salary]]-JanMonthlyReport716[[#This Row],[Deduction]]</f>
        <v>10000</v>
      </c>
      <c r="BG20" s="21"/>
      <c r="BH20" s="43"/>
    </row>
    <row r="21" spans="1:60" x14ac:dyDescent="0.25">
      <c r="A21"/>
      <c r="B21"/>
      <c r="E21" s="39"/>
      <c r="F21" s="24">
        <v>14</v>
      </c>
      <c r="G21" s="14" t="s">
        <v>33</v>
      </c>
      <c r="H21" s="10" t="s">
        <v>16</v>
      </c>
      <c r="I21" s="15">
        <f t="shared" si="9"/>
        <v>4</v>
      </c>
      <c r="J21" s="14" t="s">
        <v>57</v>
      </c>
      <c r="K21" s="14" t="s">
        <v>57</v>
      </c>
      <c r="L21" s="14" t="s">
        <v>57</v>
      </c>
      <c r="M21" s="14" t="s">
        <v>57</v>
      </c>
      <c r="N21" s="14" t="str">
        <f t="shared" si="11"/>
        <v>WO</v>
      </c>
      <c r="O21" s="14" t="s">
        <v>57</v>
      </c>
      <c r="P21" s="14" t="s">
        <v>59</v>
      </c>
      <c r="Q21" s="14" t="s">
        <v>57</v>
      </c>
      <c r="R21" s="14" t="s">
        <v>57</v>
      </c>
      <c r="S21" s="14" t="s">
        <v>57</v>
      </c>
      <c r="T21" s="14" t="s">
        <v>57</v>
      </c>
      <c r="U21" s="14" t="str">
        <f t="shared" si="11"/>
        <v>WO</v>
      </c>
      <c r="V21" s="14" t="s">
        <v>57</v>
      </c>
      <c r="W21" s="14" t="s">
        <v>57</v>
      </c>
      <c r="X21" s="14" t="s">
        <v>57</v>
      </c>
      <c r="Y21" s="14" t="s">
        <v>57</v>
      </c>
      <c r="Z21" s="14" t="s">
        <v>57</v>
      </c>
      <c r="AA21" s="14" t="s">
        <v>57</v>
      </c>
      <c r="AB21" s="14" t="str">
        <f t="shared" si="10"/>
        <v>WO</v>
      </c>
      <c r="AC21" s="14" t="s">
        <v>57</v>
      </c>
      <c r="AD21" s="14" t="s">
        <v>57</v>
      </c>
      <c r="AE21" s="14" t="s">
        <v>57</v>
      </c>
      <c r="AF21" s="14" t="s">
        <v>57</v>
      </c>
      <c r="AG21" s="14" t="s">
        <v>57</v>
      </c>
      <c r="AH21" s="14" t="s">
        <v>57</v>
      </c>
      <c r="AI21" s="14" t="str">
        <f t="shared" si="10"/>
        <v>WO</v>
      </c>
      <c r="AJ21" s="14" t="s">
        <v>57</v>
      </c>
      <c r="AK21" s="14" t="s">
        <v>57</v>
      </c>
      <c r="AL21" s="14" t="s">
        <v>59</v>
      </c>
      <c r="AM21" s="14" t="s">
        <v>57</v>
      </c>
      <c r="AN21" s="32"/>
      <c r="AO21" s="39"/>
      <c r="AR21" s="43"/>
      <c r="AS21" s="22">
        <v>14</v>
      </c>
      <c r="AT21" s="14" t="s">
        <v>33</v>
      </c>
      <c r="AU21" s="14" t="str">
        <f t="shared" si="3"/>
        <v>April</v>
      </c>
      <c r="AV21" s="10" t="s">
        <v>16</v>
      </c>
      <c r="AW21" s="22">
        <f t="shared" si="4"/>
        <v>24</v>
      </c>
      <c r="AX21" s="22">
        <f t="shared" si="5"/>
        <v>2</v>
      </c>
      <c r="AY21" s="22">
        <f t="shared" si="6"/>
        <v>0</v>
      </c>
      <c r="AZ21" s="22">
        <f t="shared" si="7"/>
        <v>4</v>
      </c>
      <c r="BA21" s="22">
        <f t="shared" si="8"/>
        <v>30</v>
      </c>
      <c r="BB21" s="22">
        <f>JanMonthlyReport716[[#This Row],[Days]]-JanMonthlyReport716[[#This Row],[Absent]]</f>
        <v>28</v>
      </c>
      <c r="BC21" s="23">
        <v>10000</v>
      </c>
      <c r="BD21" s="23">
        <f>JanMonthlyReport716[[#This Row],[Basic Salary]]/JanMonthlyReport716[[#This Row],[Days]]</f>
        <v>333.33333333333331</v>
      </c>
      <c r="BE21" s="23">
        <f>JanMonthlyReport716[[#This Row],[Per Day Salary]]*JanMonthlyReport716[[#This Row],[Absent]]</f>
        <v>666.66666666666663</v>
      </c>
      <c r="BF21" s="26">
        <f>JanMonthlyReport716[[#This Row],[Basic Salary]]-JanMonthlyReport716[[#This Row],[Deduction]]</f>
        <v>9333.3333333333339</v>
      </c>
      <c r="BG21" s="21"/>
      <c r="BH21" s="43"/>
    </row>
    <row r="22" spans="1:60" x14ac:dyDescent="0.25">
      <c r="A22"/>
      <c r="B22"/>
      <c r="E22" s="39"/>
      <c r="F22" s="24">
        <v>15</v>
      </c>
      <c r="G22" s="14" t="s">
        <v>34</v>
      </c>
      <c r="H22" s="10" t="s">
        <v>17</v>
      </c>
      <c r="I22" s="15">
        <f t="shared" si="9"/>
        <v>4</v>
      </c>
      <c r="J22" s="14" t="s">
        <v>57</v>
      </c>
      <c r="K22" s="14" t="s">
        <v>57</v>
      </c>
      <c r="L22" s="14" t="s">
        <v>57</v>
      </c>
      <c r="M22" s="14" t="s">
        <v>57</v>
      </c>
      <c r="N22" s="14" t="str">
        <f t="shared" si="11"/>
        <v>WO</v>
      </c>
      <c r="O22" s="14" t="s">
        <v>57</v>
      </c>
      <c r="P22" s="14" t="s">
        <v>57</v>
      </c>
      <c r="Q22" s="14" t="s">
        <v>57</v>
      </c>
      <c r="R22" s="14" t="s">
        <v>59</v>
      </c>
      <c r="S22" s="14" t="s">
        <v>57</v>
      </c>
      <c r="T22" s="14" t="s">
        <v>57</v>
      </c>
      <c r="U22" s="14" t="str">
        <f t="shared" si="11"/>
        <v>WO</v>
      </c>
      <c r="V22" s="14" t="s">
        <v>57</v>
      </c>
      <c r="W22" s="14" t="s">
        <v>57</v>
      </c>
      <c r="X22" s="14" t="s">
        <v>57</v>
      </c>
      <c r="Y22" s="14" t="s">
        <v>57</v>
      </c>
      <c r="Z22" s="14" t="s">
        <v>59</v>
      </c>
      <c r="AA22" s="14" t="s">
        <v>57</v>
      </c>
      <c r="AB22" s="14" t="str">
        <f t="shared" si="10"/>
        <v>WO</v>
      </c>
      <c r="AC22" s="14" t="s">
        <v>57</v>
      </c>
      <c r="AD22" s="14" t="s">
        <v>57</v>
      </c>
      <c r="AE22" s="14" t="s">
        <v>57</v>
      </c>
      <c r="AF22" s="14" t="s">
        <v>57</v>
      </c>
      <c r="AG22" s="14" t="s">
        <v>59</v>
      </c>
      <c r="AH22" s="14" t="s">
        <v>57</v>
      </c>
      <c r="AI22" s="14" t="str">
        <f t="shared" si="10"/>
        <v>WO</v>
      </c>
      <c r="AJ22" s="14" t="s">
        <v>57</v>
      </c>
      <c r="AK22" s="14" t="s">
        <v>57</v>
      </c>
      <c r="AL22" s="14" t="s">
        <v>57</v>
      </c>
      <c r="AM22" s="14" t="s">
        <v>57</v>
      </c>
      <c r="AN22" s="32"/>
      <c r="AO22" s="39"/>
      <c r="AR22" s="43"/>
      <c r="AS22" s="22">
        <v>15</v>
      </c>
      <c r="AT22" s="14" t="s">
        <v>34</v>
      </c>
      <c r="AU22" s="14" t="str">
        <f t="shared" si="3"/>
        <v>April</v>
      </c>
      <c r="AV22" s="10" t="s">
        <v>17</v>
      </c>
      <c r="AW22" s="22">
        <f t="shared" si="4"/>
        <v>23</v>
      </c>
      <c r="AX22" s="22">
        <f t="shared" si="5"/>
        <v>3</v>
      </c>
      <c r="AY22" s="22">
        <f t="shared" si="6"/>
        <v>0</v>
      </c>
      <c r="AZ22" s="22">
        <f t="shared" si="7"/>
        <v>4</v>
      </c>
      <c r="BA22" s="22">
        <f t="shared" si="8"/>
        <v>30</v>
      </c>
      <c r="BB22" s="22">
        <f>JanMonthlyReport716[[#This Row],[Days]]-JanMonthlyReport716[[#This Row],[Absent]]</f>
        <v>27</v>
      </c>
      <c r="BC22" s="23">
        <v>10000</v>
      </c>
      <c r="BD22" s="23">
        <f>JanMonthlyReport716[[#This Row],[Basic Salary]]/JanMonthlyReport716[[#This Row],[Days]]</f>
        <v>333.33333333333331</v>
      </c>
      <c r="BE22" s="23">
        <f>JanMonthlyReport716[[#This Row],[Per Day Salary]]*JanMonthlyReport716[[#This Row],[Absent]]</f>
        <v>1000</v>
      </c>
      <c r="BF22" s="26">
        <f>JanMonthlyReport716[[#This Row],[Basic Salary]]-JanMonthlyReport716[[#This Row],[Deduction]]</f>
        <v>9000</v>
      </c>
      <c r="BG22" s="21"/>
      <c r="BH22" s="43"/>
    </row>
    <row r="23" spans="1:60" x14ac:dyDescent="0.25">
      <c r="A23"/>
      <c r="B23"/>
      <c r="E23" s="39"/>
      <c r="F23" s="24">
        <v>16</v>
      </c>
      <c r="G23" s="14" t="s">
        <v>35</v>
      </c>
      <c r="H23" s="10" t="s">
        <v>18</v>
      </c>
      <c r="I23" s="15">
        <f t="shared" si="9"/>
        <v>4</v>
      </c>
      <c r="J23" s="14" t="s">
        <v>57</v>
      </c>
      <c r="K23" s="14" t="s">
        <v>57</v>
      </c>
      <c r="L23" s="14" t="s">
        <v>57</v>
      </c>
      <c r="M23" s="14" t="s">
        <v>57</v>
      </c>
      <c r="N23" s="14" t="str">
        <f t="shared" si="11"/>
        <v>WO</v>
      </c>
      <c r="O23" s="14" t="s">
        <v>57</v>
      </c>
      <c r="P23" s="14" t="s">
        <v>57</v>
      </c>
      <c r="Q23" s="14" t="s">
        <v>57</v>
      </c>
      <c r="R23" s="14" t="s">
        <v>57</v>
      </c>
      <c r="S23" s="14" t="s">
        <v>57</v>
      </c>
      <c r="T23" s="14" t="s">
        <v>57</v>
      </c>
      <c r="U23" s="14" t="str">
        <f t="shared" si="11"/>
        <v>WO</v>
      </c>
      <c r="V23" s="14" t="s">
        <v>57</v>
      </c>
      <c r="W23" s="14" t="s">
        <v>59</v>
      </c>
      <c r="X23" s="14" t="s">
        <v>57</v>
      </c>
      <c r="Y23" s="14" t="s">
        <v>57</v>
      </c>
      <c r="Z23" s="14" t="s">
        <v>57</v>
      </c>
      <c r="AA23" s="14" t="s">
        <v>57</v>
      </c>
      <c r="AB23" s="14" t="str">
        <f t="shared" si="10"/>
        <v>WO</v>
      </c>
      <c r="AC23" s="14" t="s">
        <v>57</v>
      </c>
      <c r="AD23" s="14" t="s">
        <v>57</v>
      </c>
      <c r="AE23" s="14" t="s">
        <v>57</v>
      </c>
      <c r="AF23" s="14" t="s">
        <v>57</v>
      </c>
      <c r="AG23" s="14" t="s">
        <v>57</v>
      </c>
      <c r="AH23" s="14" t="s">
        <v>57</v>
      </c>
      <c r="AI23" s="14" t="str">
        <f t="shared" si="10"/>
        <v>WO</v>
      </c>
      <c r="AJ23" s="14" t="s">
        <v>57</v>
      </c>
      <c r="AK23" s="14" t="s">
        <v>57</v>
      </c>
      <c r="AL23" s="14" t="s">
        <v>57</v>
      </c>
      <c r="AM23" s="14" t="s">
        <v>57</v>
      </c>
      <c r="AN23" s="32"/>
      <c r="AO23" s="39"/>
      <c r="AR23" s="43"/>
      <c r="AS23" s="22">
        <v>16</v>
      </c>
      <c r="AT23" s="14" t="s">
        <v>35</v>
      </c>
      <c r="AU23" s="14" t="str">
        <f t="shared" si="3"/>
        <v>April</v>
      </c>
      <c r="AV23" s="10" t="s">
        <v>18</v>
      </c>
      <c r="AW23" s="22">
        <f t="shared" si="4"/>
        <v>25</v>
      </c>
      <c r="AX23" s="22">
        <f t="shared" si="5"/>
        <v>1</v>
      </c>
      <c r="AY23" s="22">
        <f t="shared" si="6"/>
        <v>0</v>
      </c>
      <c r="AZ23" s="22">
        <f t="shared" si="7"/>
        <v>4</v>
      </c>
      <c r="BA23" s="22">
        <f t="shared" si="8"/>
        <v>30</v>
      </c>
      <c r="BB23" s="22">
        <f>JanMonthlyReport716[[#This Row],[Days]]-JanMonthlyReport716[[#This Row],[Absent]]</f>
        <v>29</v>
      </c>
      <c r="BC23" s="23">
        <v>10000</v>
      </c>
      <c r="BD23" s="23">
        <f>JanMonthlyReport716[[#This Row],[Basic Salary]]/JanMonthlyReport716[[#This Row],[Days]]</f>
        <v>333.33333333333331</v>
      </c>
      <c r="BE23" s="23">
        <f>JanMonthlyReport716[[#This Row],[Per Day Salary]]*JanMonthlyReport716[[#This Row],[Absent]]</f>
        <v>333.33333333333331</v>
      </c>
      <c r="BF23" s="26">
        <f>JanMonthlyReport716[[#This Row],[Basic Salary]]-JanMonthlyReport716[[#This Row],[Deduction]]</f>
        <v>9666.6666666666661</v>
      </c>
      <c r="BG23" s="21"/>
      <c r="BH23" s="43"/>
    </row>
    <row r="24" spans="1:60" ht="15.75" thickBot="1" x14ac:dyDescent="0.3">
      <c r="A24"/>
      <c r="B24"/>
      <c r="E24" s="39"/>
      <c r="F24" s="25">
        <v>17</v>
      </c>
      <c r="G24" s="33" t="s">
        <v>36</v>
      </c>
      <c r="H24" s="34" t="s">
        <v>19</v>
      </c>
      <c r="I24" s="35">
        <f t="shared" si="9"/>
        <v>4</v>
      </c>
      <c r="J24" s="33" t="s">
        <v>57</v>
      </c>
      <c r="K24" s="33" t="s">
        <v>57</v>
      </c>
      <c r="L24" s="33" t="s">
        <v>57</v>
      </c>
      <c r="M24" s="33" t="s">
        <v>57</v>
      </c>
      <c r="N24" s="33" t="str">
        <f t="shared" si="11"/>
        <v>WO</v>
      </c>
      <c r="O24" s="33" t="s">
        <v>57</v>
      </c>
      <c r="P24" s="33" t="s">
        <v>57</v>
      </c>
      <c r="Q24" s="33" t="s">
        <v>57</v>
      </c>
      <c r="R24" s="33" t="s">
        <v>57</v>
      </c>
      <c r="S24" s="33" t="s">
        <v>57</v>
      </c>
      <c r="T24" s="33" t="s">
        <v>57</v>
      </c>
      <c r="U24" s="33" t="str">
        <f t="shared" si="11"/>
        <v>WO</v>
      </c>
      <c r="V24" s="33" t="s">
        <v>57</v>
      </c>
      <c r="W24" s="33" t="s">
        <v>57</v>
      </c>
      <c r="X24" s="33" t="s">
        <v>57</v>
      </c>
      <c r="Y24" s="33" t="s">
        <v>57</v>
      </c>
      <c r="Z24" s="33" t="s">
        <v>57</v>
      </c>
      <c r="AA24" s="33" t="s">
        <v>57</v>
      </c>
      <c r="AB24" s="33" t="str">
        <f t="shared" si="10"/>
        <v>WO</v>
      </c>
      <c r="AC24" s="33" t="s">
        <v>57</v>
      </c>
      <c r="AD24" s="33" t="s">
        <v>57</v>
      </c>
      <c r="AE24" s="33" t="s">
        <v>57</v>
      </c>
      <c r="AF24" s="33" t="s">
        <v>57</v>
      </c>
      <c r="AG24" s="33" t="s">
        <v>57</v>
      </c>
      <c r="AH24" s="33" t="s">
        <v>57</v>
      </c>
      <c r="AI24" s="33" t="str">
        <f t="shared" si="10"/>
        <v>WO</v>
      </c>
      <c r="AJ24" s="33" t="s">
        <v>57</v>
      </c>
      <c r="AK24" s="33" t="s">
        <v>57</v>
      </c>
      <c r="AL24" s="33" t="s">
        <v>57</v>
      </c>
      <c r="AM24" s="33" t="s">
        <v>57</v>
      </c>
      <c r="AN24" s="36"/>
      <c r="AO24" s="39"/>
      <c r="AR24" s="43"/>
      <c r="AS24" s="22">
        <v>17</v>
      </c>
      <c r="AT24" s="14" t="s">
        <v>36</v>
      </c>
      <c r="AU24" s="14" t="str">
        <f t="shared" si="3"/>
        <v>April</v>
      </c>
      <c r="AV24" s="10" t="s">
        <v>19</v>
      </c>
      <c r="AW24" s="22">
        <f t="shared" si="4"/>
        <v>26</v>
      </c>
      <c r="AX24" s="22">
        <f t="shared" si="5"/>
        <v>0</v>
      </c>
      <c r="AY24" s="22">
        <f t="shared" si="6"/>
        <v>0</v>
      </c>
      <c r="AZ24" s="22">
        <f t="shared" si="7"/>
        <v>4</v>
      </c>
      <c r="BA24" s="22">
        <f t="shared" si="8"/>
        <v>30</v>
      </c>
      <c r="BB24" s="22">
        <f>JanMonthlyReport716[[#This Row],[Days]]-JanMonthlyReport716[[#This Row],[Absent]]</f>
        <v>30</v>
      </c>
      <c r="BC24" s="23">
        <v>9000</v>
      </c>
      <c r="BD24" s="23">
        <f>JanMonthlyReport716[[#This Row],[Basic Salary]]/JanMonthlyReport716[[#This Row],[Days]]</f>
        <v>300</v>
      </c>
      <c r="BE24" s="23">
        <f>JanMonthlyReport716[[#This Row],[Per Day Salary]]*JanMonthlyReport716[[#This Row],[Absent]]</f>
        <v>0</v>
      </c>
      <c r="BF24" s="26">
        <f>JanMonthlyReport716[[#This Row],[Basic Salary]]-JanMonthlyReport716[[#This Row],[Deduction]]</f>
        <v>9000</v>
      </c>
      <c r="BG24" s="21"/>
      <c r="BH24" s="43"/>
    </row>
    <row r="25" spans="1:60" x14ac:dyDescent="0.25">
      <c r="A25"/>
      <c r="B25"/>
      <c r="E25" s="39"/>
      <c r="F25" s="39"/>
      <c r="G25" s="39"/>
      <c r="H25" s="39"/>
      <c r="I25" s="39"/>
      <c r="J25" s="39"/>
      <c r="K25" s="51"/>
      <c r="L25" s="51"/>
      <c r="M25" s="51"/>
      <c r="N25" s="51"/>
      <c r="O25" s="51"/>
      <c r="P25" s="51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</row>
    <row r="26" spans="1:60" x14ac:dyDescent="0.25">
      <c r="A26"/>
      <c r="B26"/>
      <c r="E26" s="39"/>
      <c r="F26" s="39"/>
      <c r="G26" s="39"/>
      <c r="H26" s="39"/>
      <c r="I26" s="39"/>
      <c r="J26" s="39"/>
      <c r="K26" s="51"/>
      <c r="L26" s="51"/>
      <c r="M26" s="51"/>
      <c r="N26" s="51"/>
      <c r="O26" s="51"/>
      <c r="P26" s="51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</row>
    <row r="27" spans="1:60" x14ac:dyDescent="0.25">
      <c r="A27"/>
      <c r="B27"/>
      <c r="K27" s="49"/>
      <c r="L27" s="49"/>
      <c r="M27" s="49"/>
      <c r="N27" s="49"/>
      <c r="O27" s="49"/>
      <c r="P27" s="49"/>
    </row>
    <row r="28" spans="1:60" x14ac:dyDescent="0.25">
      <c r="A28"/>
      <c r="B28"/>
      <c r="J28" s="50"/>
      <c r="K28" s="50"/>
      <c r="L28" s="50"/>
      <c r="M28" s="50"/>
      <c r="N28" s="50"/>
      <c r="O28" s="50"/>
      <c r="P28" s="50"/>
    </row>
    <row r="29" spans="1:60" x14ac:dyDescent="0.25">
      <c r="A29"/>
      <c r="B29"/>
    </row>
    <row r="30" spans="1:60" x14ac:dyDescent="0.25">
      <c r="A30"/>
      <c r="B30"/>
    </row>
    <row r="31" spans="1:60" x14ac:dyDescent="0.25">
      <c r="A31"/>
      <c r="B31"/>
    </row>
    <row r="32" spans="1:60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</sheetData>
  <mergeCells count="1">
    <mergeCell ref="F6:H6"/>
  </mergeCells>
  <conditionalFormatting sqref="AQ7 N8:N10 U8:U24 AB8:AB24 AI8:AI24">
    <cfRule type="containsText" dxfId="137" priority="15" operator="containsText" text="WO">
      <formula>NOT(ISERROR(SEARCH("WO",N7)))</formula>
    </cfRule>
  </conditionalFormatting>
  <conditionalFormatting sqref="G4 I8:I24 N8:N10 U8:U24 AB8:AB24 AI8:AI24">
    <cfRule type="containsText" dxfId="136" priority="14" operator="containsText" text="WO">
      <formula>NOT(ISERROR(SEARCH("WO",G4)))</formula>
    </cfRule>
  </conditionalFormatting>
  <conditionalFormatting sqref="N8:N10 U8:U24 AB8:AB24 AI8:AI24">
    <cfRule type="containsText" dxfId="135" priority="11" operator="containsText" text="L">
      <formula>NOT(ISERROR(SEARCH("L",N8)))</formula>
    </cfRule>
    <cfRule type="containsText" dxfId="134" priority="12" operator="containsText" text="A">
      <formula>NOT(ISERROR(SEARCH("A",N8)))</formula>
    </cfRule>
    <cfRule type="containsText" dxfId="133" priority="13" operator="containsText" text="P">
      <formula>NOT(ISERROR(SEARCH("P",N8)))</formula>
    </cfRule>
  </conditionalFormatting>
  <conditionalFormatting sqref="AJ8:AN24 AC8:AH24 V8:AA24 O8:T24 J8:M24 K25:P27 N11:N24">
    <cfRule type="containsText" dxfId="85" priority="5" operator="containsText" text="WO">
      <formula>NOT(ISERROR(SEARCH("WO",J8)))</formula>
    </cfRule>
  </conditionalFormatting>
  <conditionalFormatting sqref="AJ8:AN24 AC8:AH24 V8:AA24 O8:T24 J8:M24 K25:P27 N11:N24">
    <cfRule type="containsText" dxfId="84" priority="4" operator="containsText" text="WO">
      <formula>NOT(ISERROR(SEARCH("WO",J8)))</formula>
    </cfRule>
  </conditionalFormatting>
  <conditionalFormatting sqref="AJ8:AN24 AC8:AH24 V8:AA24 O8:T24 J8:M24 K25:P27 N11:N24">
    <cfRule type="containsText" dxfId="83" priority="1" operator="containsText" text="L">
      <formula>NOT(ISERROR(SEARCH("L",J8)))</formula>
    </cfRule>
    <cfRule type="containsText" dxfId="82" priority="2" operator="containsText" text="A">
      <formula>NOT(ISERROR(SEARCH("A",J8)))</formula>
    </cfRule>
    <cfRule type="containsText" dxfId="81" priority="3" operator="containsText" text="P">
      <formula>NOT(ISERROR(SEARCH("P",J8)))</formula>
    </cfRule>
  </conditionalFormatting>
  <dataValidations count="1">
    <dataValidation type="list" allowBlank="1" showInputMessage="1" showErrorMessage="1" sqref="K11 J8:M24 O8:T24 V8:AA24 AC8:AH24 AJ8:AN24" xr:uid="{ED4188CF-DBF6-46ED-91D5-2798865802FB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C79EBB-77CE-4877-81B1-55300CC69A95}">
          <x14:formula1>
            <xm:f>Rough!$A$1:$A$12</xm:f>
          </x14:formula1>
          <xm:sqref>G4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A4860646-C0F0-4E79-93DA-4B1B570EBF1B}">
          <x14:colorSeries theme="7"/>
          <x14:colorNegative rgb="FFFF0000"/>
          <x14:colorAxis rgb="FF000000"/>
          <x14:colorMarkers rgb="FFD00000"/>
          <x14:colorFirst rgb="FFD00000"/>
          <x14:colorLast rgb="FFD00000"/>
          <x14:colorHigh rgb="FF2BF595"/>
          <x14:colorLow rgb="FFD00000"/>
          <x14:sparklines>
            <x14:sparkline>
              <xm:f>April!AW8:AY8</xm:f>
              <xm:sqref>BG8</xm:sqref>
            </x14:sparkline>
            <x14:sparkline>
              <xm:f>April!AW9:AY9</xm:f>
              <xm:sqref>BG9</xm:sqref>
            </x14:sparkline>
            <x14:sparkline>
              <xm:f>April!AW10:AY10</xm:f>
              <xm:sqref>BG10</xm:sqref>
            </x14:sparkline>
            <x14:sparkline>
              <xm:f>April!AW11:AY11</xm:f>
              <xm:sqref>BG11</xm:sqref>
            </x14:sparkline>
            <x14:sparkline>
              <xm:f>April!AW12:AY12</xm:f>
              <xm:sqref>BG12</xm:sqref>
            </x14:sparkline>
            <x14:sparkline>
              <xm:f>April!AW13:AY13</xm:f>
              <xm:sqref>BG13</xm:sqref>
            </x14:sparkline>
            <x14:sparkline>
              <xm:f>April!AW14:AY14</xm:f>
              <xm:sqref>BG14</xm:sqref>
            </x14:sparkline>
            <x14:sparkline>
              <xm:f>April!AW15:AY15</xm:f>
              <xm:sqref>BG15</xm:sqref>
            </x14:sparkline>
            <x14:sparkline>
              <xm:f>April!AW16:AY16</xm:f>
              <xm:sqref>BG16</xm:sqref>
            </x14:sparkline>
            <x14:sparkline>
              <xm:f>April!AW17:AY17</xm:f>
              <xm:sqref>BG17</xm:sqref>
            </x14:sparkline>
            <x14:sparkline>
              <xm:f>April!AW18:AY18</xm:f>
              <xm:sqref>BG18</xm:sqref>
            </x14:sparkline>
            <x14:sparkline>
              <xm:f>April!AW19:AY19</xm:f>
              <xm:sqref>BG19</xm:sqref>
            </x14:sparkline>
            <x14:sparkline>
              <xm:f>April!AW20:AY20</xm:f>
              <xm:sqref>BG20</xm:sqref>
            </x14:sparkline>
            <x14:sparkline>
              <xm:f>April!AW21:AY21</xm:f>
              <xm:sqref>BG21</xm:sqref>
            </x14:sparkline>
            <x14:sparkline>
              <xm:f>April!AW22:AY22</xm:f>
              <xm:sqref>BG22</xm:sqref>
            </x14:sparkline>
            <x14:sparkline>
              <xm:f>April!AW23:AY23</xm:f>
              <xm:sqref>BG23</xm:sqref>
            </x14:sparkline>
            <x14:sparkline>
              <xm:f>April!AW24:AY24</xm:f>
              <xm:sqref>BG24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1CED-BAB9-403E-B817-0151BA56E4A5}">
  <dimension ref="A1:BH36"/>
  <sheetViews>
    <sheetView topLeftCell="AT1" zoomScale="90" zoomScaleNormal="90" workbookViewId="0">
      <selection activeCell="BG8" sqref="BG8:BG24"/>
    </sheetView>
  </sheetViews>
  <sheetFormatPr defaultRowHeight="15" x14ac:dyDescent="0.25"/>
  <cols>
    <col min="1" max="5" width="9.140625" style="37"/>
    <col min="6" max="6" width="8.28515625" style="37" bestFit="1" customWidth="1"/>
    <col min="7" max="7" width="14.7109375" style="37" bestFit="1" customWidth="1"/>
    <col min="8" max="8" width="24" style="37" bestFit="1" customWidth="1"/>
    <col min="9" max="9" width="9.85546875" style="37" bestFit="1" customWidth="1"/>
    <col min="10" max="10" width="8.42578125" style="37" bestFit="1" customWidth="1"/>
    <col min="11" max="11" width="6.42578125" style="37" customWidth="1"/>
    <col min="12" max="12" width="5.85546875" style="37" bestFit="1" customWidth="1"/>
    <col min="13" max="13" width="6.42578125" style="37" bestFit="1" customWidth="1"/>
    <col min="14" max="14" width="6.5703125" style="37" bestFit="1" customWidth="1"/>
    <col min="15" max="15" width="6.140625" style="37" bestFit="1" customWidth="1"/>
    <col min="16" max="16" width="6.85546875" style="37" bestFit="1" customWidth="1"/>
    <col min="17" max="17" width="6.140625" style="37" bestFit="1" customWidth="1"/>
    <col min="18" max="18" width="4.7109375" style="37" bestFit="1" customWidth="1"/>
    <col min="19" max="19" width="5.85546875" style="37" bestFit="1" customWidth="1"/>
    <col min="20" max="20" width="6.42578125" style="37" bestFit="1" customWidth="1"/>
    <col min="21" max="21" width="6.5703125" style="37" bestFit="1" customWidth="1"/>
    <col min="22" max="22" width="6.140625" style="37" bestFit="1" customWidth="1"/>
    <col min="23" max="23" width="6.85546875" style="37" bestFit="1" customWidth="1"/>
    <col min="24" max="24" width="6.140625" style="37" bestFit="1" customWidth="1"/>
    <col min="25" max="25" width="4.7109375" style="37" bestFit="1" customWidth="1"/>
    <col min="26" max="26" width="5.85546875" style="37" bestFit="1" customWidth="1"/>
    <col min="27" max="27" width="6.42578125" style="37" bestFit="1" customWidth="1"/>
    <col min="28" max="28" width="6.5703125" style="37" bestFit="1" customWidth="1"/>
    <col min="29" max="29" width="6.140625" style="37" bestFit="1" customWidth="1"/>
    <col min="30" max="30" width="6.85546875" style="37" bestFit="1" customWidth="1"/>
    <col min="31" max="31" width="6.140625" style="37" bestFit="1" customWidth="1"/>
    <col min="32" max="32" width="4.7109375" style="37" bestFit="1" customWidth="1"/>
    <col min="33" max="33" width="5.85546875" style="37" bestFit="1" customWidth="1"/>
    <col min="34" max="34" width="6.42578125" style="37" bestFit="1" customWidth="1"/>
    <col min="35" max="35" width="6.5703125" style="37" bestFit="1" customWidth="1"/>
    <col min="36" max="36" width="6.140625" style="37" bestFit="1" customWidth="1"/>
    <col min="37" max="37" width="6.85546875" style="37" bestFit="1" customWidth="1"/>
    <col min="38" max="38" width="6.140625" style="37" bestFit="1" customWidth="1"/>
    <col min="39" max="39" width="4.5703125" style="37" bestFit="1" customWidth="1"/>
    <col min="40" max="40" width="5.7109375" style="37" bestFit="1" customWidth="1"/>
    <col min="41" max="45" width="9.140625" style="37"/>
    <col min="46" max="47" width="15.140625" style="37" customWidth="1"/>
    <col min="48" max="48" width="21.5703125" style="37" bestFit="1" customWidth="1"/>
    <col min="49" max="49" width="9.85546875" style="37" customWidth="1"/>
    <col min="50" max="50" width="9.28515625" style="37" customWidth="1"/>
    <col min="51" max="51" width="8.42578125" style="37" customWidth="1"/>
    <col min="52" max="52" width="11.85546875" style="37" customWidth="1"/>
    <col min="53" max="53" width="7.7109375" style="37" customWidth="1"/>
    <col min="54" max="54" width="12" style="37" customWidth="1"/>
    <col min="55" max="55" width="14" style="37" customWidth="1"/>
    <col min="56" max="56" width="16.28515625" style="37" customWidth="1"/>
    <col min="57" max="57" width="12.5703125" style="37" bestFit="1" customWidth="1"/>
    <col min="58" max="58" width="13.7109375" style="37" customWidth="1"/>
    <col min="59" max="59" width="16.7109375" style="37" customWidth="1"/>
    <col min="60" max="16384" width="9.140625" style="37"/>
  </cols>
  <sheetData>
    <row r="1" spans="1:6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6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60" x14ac:dyDescent="0.25">
      <c r="A3"/>
      <c r="B3"/>
    </row>
    <row r="4" spans="1:60" x14ac:dyDescent="0.25">
      <c r="A4"/>
      <c r="B4"/>
      <c r="E4" s="39"/>
      <c r="F4" s="39" t="s">
        <v>41</v>
      </c>
      <c r="G4" s="40">
        <v>46143</v>
      </c>
      <c r="H4" s="41">
        <f>DATEDIF($G$4,$K$4,"D")+1</f>
        <v>31</v>
      </c>
      <c r="I4" s="39" t="str">
        <f>TEXT(G4,"MMMM")</f>
        <v>May</v>
      </c>
      <c r="J4" s="39" t="s">
        <v>42</v>
      </c>
      <c r="K4" s="40">
        <f>EOMONTH(G4,0)</f>
        <v>46173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60" ht="15.75" thickBot="1" x14ac:dyDescent="0.3">
      <c r="A5"/>
      <c r="B5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</row>
    <row r="6" spans="1:60" x14ac:dyDescent="0.25">
      <c r="A6"/>
      <c r="B6"/>
      <c r="E6" s="39"/>
      <c r="F6" s="46" t="s">
        <v>44</v>
      </c>
      <c r="G6" s="47"/>
      <c r="H6" s="48"/>
      <c r="I6" s="27" t="s">
        <v>43</v>
      </c>
      <c r="J6" s="28" t="str">
        <f>TEXT(J7,"DDD")</f>
        <v>Fri</v>
      </c>
      <c r="K6" s="28" t="str">
        <f t="shared" ref="K6:AN6" si="0">TEXT(K7,"DDD")</f>
        <v>Sat</v>
      </c>
      <c r="L6" s="28" t="str">
        <f t="shared" si="0"/>
        <v>Sun</v>
      </c>
      <c r="M6" s="28" t="str">
        <f t="shared" si="0"/>
        <v>Mon</v>
      </c>
      <c r="N6" s="28" t="str">
        <f t="shared" si="0"/>
        <v>Tue</v>
      </c>
      <c r="O6" s="28" t="str">
        <f t="shared" si="0"/>
        <v>Wed</v>
      </c>
      <c r="P6" s="28" t="str">
        <f t="shared" si="0"/>
        <v>Thu</v>
      </c>
      <c r="Q6" s="28" t="str">
        <f t="shared" si="0"/>
        <v>Fri</v>
      </c>
      <c r="R6" s="28" t="str">
        <f t="shared" si="0"/>
        <v>Sat</v>
      </c>
      <c r="S6" s="28" t="str">
        <f t="shared" si="0"/>
        <v>Sun</v>
      </c>
      <c r="T6" s="28" t="str">
        <f t="shared" si="0"/>
        <v>Mon</v>
      </c>
      <c r="U6" s="28" t="str">
        <f t="shared" si="0"/>
        <v>Tue</v>
      </c>
      <c r="V6" s="28" t="str">
        <f t="shared" si="0"/>
        <v>Wed</v>
      </c>
      <c r="W6" s="28" t="str">
        <f t="shared" si="0"/>
        <v>Thu</v>
      </c>
      <c r="X6" s="28" t="str">
        <f t="shared" si="0"/>
        <v>Fri</v>
      </c>
      <c r="Y6" s="28" t="str">
        <f t="shared" si="0"/>
        <v>Sat</v>
      </c>
      <c r="Z6" s="28" t="str">
        <f t="shared" si="0"/>
        <v>Sun</v>
      </c>
      <c r="AA6" s="28" t="str">
        <f t="shared" si="0"/>
        <v>Mon</v>
      </c>
      <c r="AB6" s="28" t="str">
        <f t="shared" si="0"/>
        <v>Tue</v>
      </c>
      <c r="AC6" s="28" t="str">
        <f t="shared" si="0"/>
        <v>Wed</v>
      </c>
      <c r="AD6" s="28" t="str">
        <f t="shared" si="0"/>
        <v>Thu</v>
      </c>
      <c r="AE6" s="28" t="str">
        <f t="shared" si="0"/>
        <v>Fri</v>
      </c>
      <c r="AF6" s="28" t="str">
        <f t="shared" si="0"/>
        <v>Sat</v>
      </c>
      <c r="AG6" s="28" t="str">
        <f t="shared" si="0"/>
        <v>Sun</v>
      </c>
      <c r="AH6" s="28" t="str">
        <f t="shared" si="0"/>
        <v>Mon</v>
      </c>
      <c r="AI6" s="28" t="str">
        <f t="shared" si="0"/>
        <v>Tue</v>
      </c>
      <c r="AJ6" s="28" t="str">
        <f t="shared" si="0"/>
        <v>Wed</v>
      </c>
      <c r="AK6" s="28" t="str">
        <f t="shared" si="0"/>
        <v>Thu</v>
      </c>
      <c r="AL6" s="28" t="str">
        <f t="shared" si="0"/>
        <v>Fri</v>
      </c>
      <c r="AM6" s="28" t="str">
        <f t="shared" si="0"/>
        <v>Sat</v>
      </c>
      <c r="AN6" s="29" t="str">
        <f t="shared" si="0"/>
        <v>Sun</v>
      </c>
      <c r="AO6" s="42" t="str">
        <f>IF(AN7 &lt; $K$4,AN7+1,"")</f>
        <v/>
      </c>
      <c r="AP6" s="38"/>
      <c r="AQ6" s="38"/>
      <c r="AR6" s="44"/>
      <c r="AS6" s="44"/>
      <c r="AT6" s="44"/>
      <c r="AU6" s="44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</row>
    <row r="7" spans="1:60" ht="15.75" thickBot="1" x14ac:dyDescent="0.3">
      <c r="A7"/>
      <c r="B7"/>
      <c r="E7" s="39"/>
      <c r="F7" s="30" t="s">
        <v>37</v>
      </c>
      <c r="G7" s="12" t="s">
        <v>38</v>
      </c>
      <c r="H7" s="13" t="s">
        <v>39</v>
      </c>
      <c r="I7" s="16" t="s">
        <v>40</v>
      </c>
      <c r="J7" s="17">
        <f>G4</f>
        <v>46143</v>
      </c>
      <c r="K7" s="17">
        <f t="shared" ref="K7:AN7" si="1">IF(J7 &lt; $K$4,J7+1,"")</f>
        <v>46144</v>
      </c>
      <c r="L7" s="17">
        <f t="shared" si="1"/>
        <v>46145</v>
      </c>
      <c r="M7" s="17">
        <f t="shared" si="1"/>
        <v>46146</v>
      </c>
      <c r="N7" s="17">
        <f t="shared" si="1"/>
        <v>46147</v>
      </c>
      <c r="O7" s="17">
        <f t="shared" si="1"/>
        <v>46148</v>
      </c>
      <c r="P7" s="17">
        <f t="shared" si="1"/>
        <v>46149</v>
      </c>
      <c r="Q7" s="17">
        <f t="shared" si="1"/>
        <v>46150</v>
      </c>
      <c r="R7" s="17">
        <f t="shared" si="1"/>
        <v>46151</v>
      </c>
      <c r="S7" s="17">
        <f t="shared" si="1"/>
        <v>46152</v>
      </c>
      <c r="T7" s="17">
        <f t="shared" si="1"/>
        <v>46153</v>
      </c>
      <c r="U7" s="17">
        <f t="shared" si="1"/>
        <v>46154</v>
      </c>
      <c r="V7" s="17">
        <f t="shared" si="1"/>
        <v>46155</v>
      </c>
      <c r="W7" s="17">
        <f t="shared" si="1"/>
        <v>46156</v>
      </c>
      <c r="X7" s="17">
        <f t="shared" si="1"/>
        <v>46157</v>
      </c>
      <c r="Y7" s="17">
        <f t="shared" si="1"/>
        <v>46158</v>
      </c>
      <c r="Z7" s="17">
        <f t="shared" si="1"/>
        <v>46159</v>
      </c>
      <c r="AA7" s="17">
        <f t="shared" si="1"/>
        <v>46160</v>
      </c>
      <c r="AB7" s="17">
        <f t="shared" si="1"/>
        <v>46161</v>
      </c>
      <c r="AC7" s="17">
        <f t="shared" si="1"/>
        <v>46162</v>
      </c>
      <c r="AD7" s="17">
        <f t="shared" si="1"/>
        <v>46163</v>
      </c>
      <c r="AE7" s="17">
        <f t="shared" si="1"/>
        <v>46164</v>
      </c>
      <c r="AF7" s="17">
        <f t="shared" si="1"/>
        <v>46165</v>
      </c>
      <c r="AG7" s="17">
        <f t="shared" si="1"/>
        <v>46166</v>
      </c>
      <c r="AH7" s="17">
        <f t="shared" si="1"/>
        <v>46167</v>
      </c>
      <c r="AI7" s="17">
        <f t="shared" si="1"/>
        <v>46168</v>
      </c>
      <c r="AJ7" s="17">
        <f t="shared" si="1"/>
        <v>46169</v>
      </c>
      <c r="AK7" s="17">
        <f t="shared" si="1"/>
        <v>46170</v>
      </c>
      <c r="AL7" s="17">
        <f t="shared" si="1"/>
        <v>46171</v>
      </c>
      <c r="AM7" s="17">
        <f t="shared" si="1"/>
        <v>46172</v>
      </c>
      <c r="AN7" s="31">
        <f t="shared" si="1"/>
        <v>46173</v>
      </c>
      <c r="AO7" s="39"/>
      <c r="AR7" s="43"/>
      <c r="AS7" s="18" t="s">
        <v>37</v>
      </c>
      <c r="AT7" s="18" t="s">
        <v>38</v>
      </c>
      <c r="AU7" s="18" t="s">
        <v>56</v>
      </c>
      <c r="AV7" s="19" t="s">
        <v>39</v>
      </c>
      <c r="AW7" s="18" t="s">
        <v>45</v>
      </c>
      <c r="AX7" s="18" t="s">
        <v>46</v>
      </c>
      <c r="AY7" s="18" t="s">
        <v>47</v>
      </c>
      <c r="AZ7" s="18" t="s">
        <v>48</v>
      </c>
      <c r="BA7" s="18" t="s">
        <v>49</v>
      </c>
      <c r="BB7" s="18" t="s">
        <v>50</v>
      </c>
      <c r="BC7" s="18" t="s">
        <v>51</v>
      </c>
      <c r="BD7" s="18" t="s">
        <v>52</v>
      </c>
      <c r="BE7" s="18" t="s">
        <v>53</v>
      </c>
      <c r="BF7" s="20" t="s">
        <v>54</v>
      </c>
      <c r="BG7" s="18" t="s">
        <v>55</v>
      </c>
      <c r="BH7" s="43"/>
    </row>
    <row r="8" spans="1:60" x14ac:dyDescent="0.25">
      <c r="A8"/>
      <c r="B8"/>
      <c r="E8" s="39"/>
      <c r="F8" s="24">
        <v>1</v>
      </c>
      <c r="G8" s="14" t="s">
        <v>20</v>
      </c>
      <c r="H8" s="10" t="s">
        <v>3</v>
      </c>
      <c r="I8" s="15">
        <f>COUNTIF($J$6:$AN$6,"sun")</f>
        <v>5</v>
      </c>
      <c r="J8" s="14" t="s">
        <v>57</v>
      </c>
      <c r="K8" s="14" t="s">
        <v>57</v>
      </c>
      <c r="L8" s="14" t="str">
        <f t="shared" ref="K8:AN16" si="2">IF(L$6 = "sun","WO","")</f>
        <v>WO</v>
      </c>
      <c r="M8" s="14" t="s">
        <v>58</v>
      </c>
      <c r="N8" s="14" t="s">
        <v>57</v>
      </c>
      <c r="O8" s="14" t="s">
        <v>57</v>
      </c>
      <c r="P8" s="14" t="s">
        <v>57</v>
      </c>
      <c r="Q8" s="14" t="s">
        <v>57</v>
      </c>
      <c r="R8" s="14" t="s">
        <v>57</v>
      </c>
      <c r="S8" s="14" t="str">
        <f t="shared" si="2"/>
        <v>WO</v>
      </c>
      <c r="T8" s="14" t="s">
        <v>57</v>
      </c>
      <c r="U8" s="14" t="s">
        <v>57</v>
      </c>
      <c r="V8" s="14" t="s">
        <v>57</v>
      </c>
      <c r="W8" s="14" t="s">
        <v>57</v>
      </c>
      <c r="X8" s="14" t="s">
        <v>57</v>
      </c>
      <c r="Y8" s="14" t="s">
        <v>57</v>
      </c>
      <c r="Z8" s="14" t="str">
        <f t="shared" si="2"/>
        <v>WO</v>
      </c>
      <c r="AA8" s="14" t="s">
        <v>57</v>
      </c>
      <c r="AB8" s="14" t="s">
        <v>57</v>
      </c>
      <c r="AC8" s="14" t="s">
        <v>57</v>
      </c>
      <c r="AD8" s="14" t="s">
        <v>57</v>
      </c>
      <c r="AE8" s="14" t="s">
        <v>58</v>
      </c>
      <c r="AF8" s="14" t="s">
        <v>57</v>
      </c>
      <c r="AG8" s="14" t="str">
        <f t="shared" si="2"/>
        <v>WO</v>
      </c>
      <c r="AH8" s="14" t="s">
        <v>57</v>
      </c>
      <c r="AI8" s="14" t="s">
        <v>57</v>
      </c>
      <c r="AJ8" s="14" t="s">
        <v>57</v>
      </c>
      <c r="AK8" s="14" t="s">
        <v>57</v>
      </c>
      <c r="AL8" s="14" t="s">
        <v>57</v>
      </c>
      <c r="AM8" s="14" t="s">
        <v>57</v>
      </c>
      <c r="AN8" s="32" t="str">
        <f t="shared" si="2"/>
        <v>WO</v>
      </c>
      <c r="AO8" s="39"/>
      <c r="AR8" s="43"/>
      <c r="AS8" s="22">
        <v>1</v>
      </c>
      <c r="AT8" s="14" t="s">
        <v>20</v>
      </c>
      <c r="AU8" s="14" t="str">
        <f t="shared" ref="AU8:AU24" si="3">$I$4</f>
        <v>May</v>
      </c>
      <c r="AV8" s="10" t="s">
        <v>3</v>
      </c>
      <c r="AW8" s="22">
        <f t="shared" ref="AW8:AW24" si="4">COUNTIF($J8:$AN8,"P")</f>
        <v>24</v>
      </c>
      <c r="AX8" s="22">
        <f t="shared" ref="AX8:AX24" si="5">COUNTIF($J8:$AN8,"A")</f>
        <v>0</v>
      </c>
      <c r="AY8" s="22">
        <f t="shared" ref="AY8:AY24" si="6">COUNTIF($J8:$AN8,"L")</f>
        <v>2</v>
      </c>
      <c r="AZ8" s="22">
        <f t="shared" ref="AZ8:AZ24" si="7">$I$8</f>
        <v>5</v>
      </c>
      <c r="BA8" s="22">
        <f t="shared" ref="BA8:BA24" si="8">$H$4</f>
        <v>31</v>
      </c>
      <c r="BB8" s="22">
        <f>JanMonthlyReport7[[#This Row],[Days]]-JanMonthlyReport7[[#This Row],[Absent]]</f>
        <v>31</v>
      </c>
      <c r="BC8" s="23">
        <v>100000</v>
      </c>
      <c r="BD8" s="23">
        <f>JanMonthlyReport7[[#This Row],[Basic Salary]]/JanMonthlyReport7[[#This Row],[Days]]</f>
        <v>3225.8064516129034</v>
      </c>
      <c r="BE8" s="23">
        <f>JanMonthlyReport7[[#This Row],[Per Day Salary]]*JanMonthlyReport7[[#This Row],[Absent]]</f>
        <v>0</v>
      </c>
      <c r="BF8" s="26">
        <f>JanMonthlyReport7[[#This Row],[Basic Salary]]-JanMonthlyReport7[[#This Row],[Deduction]]</f>
        <v>100000</v>
      </c>
      <c r="BG8" s="21"/>
      <c r="BH8" s="43"/>
    </row>
    <row r="9" spans="1:60" x14ac:dyDescent="0.25">
      <c r="A9"/>
      <c r="B9"/>
      <c r="E9" s="39"/>
      <c r="F9" s="24">
        <v>2</v>
      </c>
      <c r="G9" s="14" t="s">
        <v>21</v>
      </c>
      <c r="H9" s="10" t="s">
        <v>4</v>
      </c>
      <c r="I9" s="15">
        <f t="shared" ref="I9:I24" si="9">COUNTIF($J$6:$AN$6,"sun")</f>
        <v>5</v>
      </c>
      <c r="J9" s="14" t="s">
        <v>57</v>
      </c>
      <c r="K9" s="14" t="s">
        <v>57</v>
      </c>
      <c r="L9" s="14" t="str">
        <f t="shared" si="2"/>
        <v>WO</v>
      </c>
      <c r="M9" s="14" t="s">
        <v>58</v>
      </c>
      <c r="N9" s="14" t="s">
        <v>57</v>
      </c>
      <c r="O9" s="14" t="s">
        <v>57</v>
      </c>
      <c r="P9" s="14" t="s">
        <v>57</v>
      </c>
      <c r="Q9" s="14" t="s">
        <v>57</v>
      </c>
      <c r="R9" s="14" t="s">
        <v>57</v>
      </c>
      <c r="S9" s="14" t="str">
        <f t="shared" si="2"/>
        <v>WO</v>
      </c>
      <c r="T9" s="14" t="s">
        <v>57</v>
      </c>
      <c r="U9" s="14" t="s">
        <v>57</v>
      </c>
      <c r="V9" s="14" t="s">
        <v>57</v>
      </c>
      <c r="W9" s="14" t="s">
        <v>57</v>
      </c>
      <c r="X9" s="14" t="s">
        <v>57</v>
      </c>
      <c r="Y9" s="14" t="s">
        <v>57</v>
      </c>
      <c r="Z9" s="14" t="str">
        <f t="shared" si="2"/>
        <v>WO</v>
      </c>
      <c r="AA9" s="14" t="s">
        <v>57</v>
      </c>
      <c r="AB9" s="14" t="s">
        <v>57</v>
      </c>
      <c r="AC9" s="14" t="s">
        <v>57</v>
      </c>
      <c r="AD9" s="14" t="s">
        <v>57</v>
      </c>
      <c r="AE9" s="14" t="s">
        <v>58</v>
      </c>
      <c r="AF9" s="14" t="s">
        <v>57</v>
      </c>
      <c r="AG9" s="14" t="str">
        <f t="shared" si="2"/>
        <v>WO</v>
      </c>
      <c r="AH9" s="14" t="s">
        <v>57</v>
      </c>
      <c r="AI9" s="14" t="s">
        <v>57</v>
      </c>
      <c r="AJ9" s="14" t="s">
        <v>57</v>
      </c>
      <c r="AK9" s="14" t="s">
        <v>57</v>
      </c>
      <c r="AL9" s="14" t="s">
        <v>57</v>
      </c>
      <c r="AM9" s="14" t="s">
        <v>57</v>
      </c>
      <c r="AN9" s="32" t="str">
        <f t="shared" si="2"/>
        <v>WO</v>
      </c>
      <c r="AO9" s="39"/>
      <c r="AR9" s="43"/>
      <c r="AS9" s="22">
        <v>2</v>
      </c>
      <c r="AT9" s="14" t="s">
        <v>21</v>
      </c>
      <c r="AU9" s="14" t="str">
        <f t="shared" si="3"/>
        <v>May</v>
      </c>
      <c r="AV9" s="10" t="s">
        <v>4</v>
      </c>
      <c r="AW9" s="22">
        <f t="shared" si="4"/>
        <v>24</v>
      </c>
      <c r="AX9" s="22">
        <f t="shared" si="5"/>
        <v>0</v>
      </c>
      <c r="AY9" s="22">
        <f t="shared" si="6"/>
        <v>2</v>
      </c>
      <c r="AZ9" s="22">
        <f t="shared" si="7"/>
        <v>5</v>
      </c>
      <c r="BA9" s="22">
        <f t="shared" si="8"/>
        <v>31</v>
      </c>
      <c r="BB9" s="22">
        <f>JanMonthlyReport7[[#This Row],[Days]]-JanMonthlyReport7[[#This Row],[Absent]]</f>
        <v>31</v>
      </c>
      <c r="BC9" s="23">
        <v>70000</v>
      </c>
      <c r="BD9" s="23">
        <f>JanMonthlyReport7[[#This Row],[Basic Salary]]/JanMonthlyReport7[[#This Row],[Days]]</f>
        <v>2258.0645161290322</v>
      </c>
      <c r="BE9" s="23">
        <f>JanMonthlyReport7[[#This Row],[Per Day Salary]]*JanMonthlyReport7[[#This Row],[Absent]]</f>
        <v>0</v>
      </c>
      <c r="BF9" s="26">
        <f>JanMonthlyReport7[[#This Row],[Basic Salary]]-JanMonthlyReport7[[#This Row],[Deduction]]</f>
        <v>70000</v>
      </c>
      <c r="BG9" s="21"/>
      <c r="BH9" s="43"/>
    </row>
    <row r="10" spans="1:60" x14ac:dyDescent="0.25">
      <c r="A10"/>
      <c r="B10"/>
      <c r="E10" s="39"/>
      <c r="F10" s="24">
        <v>3</v>
      </c>
      <c r="G10" s="14" t="s">
        <v>22</v>
      </c>
      <c r="H10" s="10" t="s">
        <v>5</v>
      </c>
      <c r="I10" s="15">
        <f t="shared" si="9"/>
        <v>5</v>
      </c>
      <c r="J10" s="14" t="s">
        <v>57</v>
      </c>
      <c r="K10" s="14" t="s">
        <v>57</v>
      </c>
      <c r="L10" s="14" t="str">
        <f t="shared" si="2"/>
        <v>WO</v>
      </c>
      <c r="M10" s="14" t="s">
        <v>58</v>
      </c>
      <c r="N10" s="14" t="s">
        <v>57</v>
      </c>
      <c r="O10" s="14" t="s">
        <v>57</v>
      </c>
      <c r="P10" s="14" t="s">
        <v>57</v>
      </c>
      <c r="Q10" s="14" t="s">
        <v>57</v>
      </c>
      <c r="R10" s="14" t="s">
        <v>57</v>
      </c>
      <c r="S10" s="14" t="str">
        <f t="shared" si="2"/>
        <v>WO</v>
      </c>
      <c r="T10" s="14" t="s">
        <v>57</v>
      </c>
      <c r="U10" s="14" t="s">
        <v>57</v>
      </c>
      <c r="V10" s="14" t="s">
        <v>57</v>
      </c>
      <c r="W10" s="14" t="s">
        <v>57</v>
      </c>
      <c r="X10" s="14" t="s">
        <v>57</v>
      </c>
      <c r="Y10" s="14" t="s">
        <v>57</v>
      </c>
      <c r="Z10" s="14" t="str">
        <f t="shared" si="2"/>
        <v>WO</v>
      </c>
      <c r="AA10" s="14" t="s">
        <v>57</v>
      </c>
      <c r="AB10" s="14" t="s">
        <v>57</v>
      </c>
      <c r="AC10" s="14" t="s">
        <v>57</v>
      </c>
      <c r="AD10" s="14" t="s">
        <v>57</v>
      </c>
      <c r="AE10" s="14" t="s">
        <v>58</v>
      </c>
      <c r="AF10" s="14" t="s">
        <v>57</v>
      </c>
      <c r="AG10" s="14" t="str">
        <f t="shared" si="2"/>
        <v>WO</v>
      </c>
      <c r="AH10" s="14" t="s">
        <v>57</v>
      </c>
      <c r="AI10" s="14" t="s">
        <v>57</v>
      </c>
      <c r="AJ10" s="14" t="s">
        <v>57</v>
      </c>
      <c r="AK10" s="14" t="s">
        <v>57</v>
      </c>
      <c r="AL10" s="14" t="s">
        <v>59</v>
      </c>
      <c r="AM10" s="14" t="s">
        <v>57</v>
      </c>
      <c r="AN10" s="32" t="str">
        <f t="shared" si="2"/>
        <v>WO</v>
      </c>
      <c r="AO10" s="39"/>
      <c r="AR10" s="43"/>
      <c r="AS10" s="22">
        <v>3</v>
      </c>
      <c r="AT10" s="14" t="s">
        <v>22</v>
      </c>
      <c r="AU10" s="14" t="str">
        <f t="shared" si="3"/>
        <v>May</v>
      </c>
      <c r="AV10" s="10" t="s">
        <v>5</v>
      </c>
      <c r="AW10" s="22">
        <f t="shared" si="4"/>
        <v>23</v>
      </c>
      <c r="AX10" s="22">
        <f t="shared" si="5"/>
        <v>1</v>
      </c>
      <c r="AY10" s="22">
        <f t="shared" si="6"/>
        <v>2</v>
      </c>
      <c r="AZ10" s="22">
        <f t="shared" si="7"/>
        <v>5</v>
      </c>
      <c r="BA10" s="22">
        <f t="shared" si="8"/>
        <v>31</v>
      </c>
      <c r="BB10" s="22">
        <f>JanMonthlyReport7[[#This Row],[Days]]-JanMonthlyReport7[[#This Row],[Absent]]</f>
        <v>30</v>
      </c>
      <c r="BC10" s="23">
        <v>80000</v>
      </c>
      <c r="BD10" s="23">
        <f>JanMonthlyReport7[[#This Row],[Basic Salary]]/JanMonthlyReport7[[#This Row],[Days]]</f>
        <v>2580.6451612903224</v>
      </c>
      <c r="BE10" s="23">
        <f>JanMonthlyReport7[[#This Row],[Per Day Salary]]*JanMonthlyReport7[[#This Row],[Absent]]</f>
        <v>2580.6451612903224</v>
      </c>
      <c r="BF10" s="26">
        <f>JanMonthlyReport7[[#This Row],[Basic Salary]]-JanMonthlyReport7[[#This Row],[Deduction]]</f>
        <v>77419.354838709682</v>
      </c>
      <c r="BG10" s="21"/>
      <c r="BH10" s="43"/>
    </row>
    <row r="11" spans="1:60" x14ac:dyDescent="0.25">
      <c r="A11"/>
      <c r="B11"/>
      <c r="E11" s="39"/>
      <c r="F11" s="24">
        <v>4</v>
      </c>
      <c r="G11" s="14" t="s">
        <v>23</v>
      </c>
      <c r="H11" s="10" t="s">
        <v>6</v>
      </c>
      <c r="I11" s="15">
        <f t="shared" si="9"/>
        <v>5</v>
      </c>
      <c r="J11" s="14" t="s">
        <v>57</v>
      </c>
      <c r="K11" s="14" t="s">
        <v>57</v>
      </c>
      <c r="L11" s="14" t="str">
        <f t="shared" si="2"/>
        <v>WO</v>
      </c>
      <c r="M11" s="14" t="s">
        <v>58</v>
      </c>
      <c r="N11" s="14" t="s">
        <v>57</v>
      </c>
      <c r="O11" s="14" t="s">
        <v>57</v>
      </c>
      <c r="P11" s="14" t="s">
        <v>57</v>
      </c>
      <c r="Q11" s="14" t="s">
        <v>57</v>
      </c>
      <c r="R11" s="14" t="s">
        <v>57</v>
      </c>
      <c r="S11" s="14" t="str">
        <f t="shared" si="2"/>
        <v>WO</v>
      </c>
      <c r="T11" s="14" t="s">
        <v>57</v>
      </c>
      <c r="U11" s="14" t="s">
        <v>57</v>
      </c>
      <c r="V11" s="14" t="s">
        <v>57</v>
      </c>
      <c r="W11" s="14" t="s">
        <v>57</v>
      </c>
      <c r="X11" s="14" t="s">
        <v>57</v>
      </c>
      <c r="Y11" s="14" t="s">
        <v>57</v>
      </c>
      <c r="Z11" s="14" t="str">
        <f t="shared" si="2"/>
        <v>WO</v>
      </c>
      <c r="AA11" s="14" t="s">
        <v>59</v>
      </c>
      <c r="AB11" s="14" t="s">
        <v>57</v>
      </c>
      <c r="AC11" s="14" t="s">
        <v>57</v>
      </c>
      <c r="AD11" s="14" t="s">
        <v>57</v>
      </c>
      <c r="AE11" s="14" t="s">
        <v>58</v>
      </c>
      <c r="AF11" s="14" t="s">
        <v>57</v>
      </c>
      <c r="AG11" s="14" t="str">
        <f t="shared" si="2"/>
        <v>WO</v>
      </c>
      <c r="AH11" s="14" t="s">
        <v>57</v>
      </c>
      <c r="AI11" s="14" t="s">
        <v>57</v>
      </c>
      <c r="AJ11" s="14" t="s">
        <v>57</v>
      </c>
      <c r="AK11" s="14" t="s">
        <v>57</v>
      </c>
      <c r="AL11" s="14" t="s">
        <v>57</v>
      </c>
      <c r="AM11" s="14" t="s">
        <v>57</v>
      </c>
      <c r="AN11" s="32" t="str">
        <f t="shared" si="2"/>
        <v>WO</v>
      </c>
      <c r="AO11" s="39"/>
      <c r="AR11" s="43"/>
      <c r="AS11" s="22">
        <v>4</v>
      </c>
      <c r="AT11" s="14" t="s">
        <v>23</v>
      </c>
      <c r="AU11" s="14" t="str">
        <f t="shared" si="3"/>
        <v>May</v>
      </c>
      <c r="AV11" s="10" t="s">
        <v>6</v>
      </c>
      <c r="AW11" s="22">
        <f t="shared" si="4"/>
        <v>23</v>
      </c>
      <c r="AX11" s="22">
        <f t="shared" si="5"/>
        <v>1</v>
      </c>
      <c r="AY11" s="22">
        <f t="shared" si="6"/>
        <v>2</v>
      </c>
      <c r="AZ11" s="22">
        <f t="shared" si="7"/>
        <v>5</v>
      </c>
      <c r="BA11" s="22">
        <f t="shared" si="8"/>
        <v>31</v>
      </c>
      <c r="BB11" s="22">
        <f>JanMonthlyReport7[[#This Row],[Days]]-JanMonthlyReport7[[#This Row],[Absent]]</f>
        <v>30</v>
      </c>
      <c r="BC11" s="23">
        <v>75000</v>
      </c>
      <c r="BD11" s="23">
        <f>JanMonthlyReport7[[#This Row],[Basic Salary]]/JanMonthlyReport7[[#This Row],[Days]]</f>
        <v>2419.3548387096776</v>
      </c>
      <c r="BE11" s="23">
        <f>JanMonthlyReport7[[#This Row],[Per Day Salary]]*JanMonthlyReport7[[#This Row],[Absent]]</f>
        <v>2419.3548387096776</v>
      </c>
      <c r="BF11" s="26">
        <f>JanMonthlyReport7[[#This Row],[Basic Salary]]-JanMonthlyReport7[[#This Row],[Deduction]]</f>
        <v>72580.645161290318</v>
      </c>
      <c r="BG11" s="21"/>
      <c r="BH11" s="43"/>
    </row>
    <row r="12" spans="1:60" x14ac:dyDescent="0.25">
      <c r="A12"/>
      <c r="B12"/>
      <c r="E12" s="39"/>
      <c r="F12" s="24">
        <v>5</v>
      </c>
      <c r="G12" s="14" t="s">
        <v>24</v>
      </c>
      <c r="H12" s="10" t="s">
        <v>7</v>
      </c>
      <c r="I12" s="15">
        <f t="shared" si="9"/>
        <v>5</v>
      </c>
      <c r="J12" s="14" t="s">
        <v>57</v>
      </c>
      <c r="K12" s="14" t="s">
        <v>57</v>
      </c>
      <c r="L12" s="14" t="str">
        <f t="shared" si="2"/>
        <v>WO</v>
      </c>
      <c r="M12" s="14" t="s">
        <v>58</v>
      </c>
      <c r="N12" s="14" t="s">
        <v>57</v>
      </c>
      <c r="O12" s="14" t="s">
        <v>57</v>
      </c>
      <c r="P12" s="14" t="s">
        <v>57</v>
      </c>
      <c r="Q12" s="14" t="s">
        <v>57</v>
      </c>
      <c r="R12" s="14" t="s">
        <v>57</v>
      </c>
      <c r="S12" s="14" t="str">
        <f t="shared" si="2"/>
        <v>WO</v>
      </c>
      <c r="T12" s="14" t="s">
        <v>57</v>
      </c>
      <c r="U12" s="14" t="s">
        <v>57</v>
      </c>
      <c r="V12" s="14" t="s">
        <v>57</v>
      </c>
      <c r="W12" s="14" t="s">
        <v>57</v>
      </c>
      <c r="X12" s="14" t="s">
        <v>57</v>
      </c>
      <c r="Y12" s="14" t="s">
        <v>57</v>
      </c>
      <c r="Z12" s="14" t="str">
        <f t="shared" si="2"/>
        <v>WO</v>
      </c>
      <c r="AA12" s="14" t="s">
        <v>57</v>
      </c>
      <c r="AB12" s="14" t="s">
        <v>57</v>
      </c>
      <c r="AC12" s="14" t="s">
        <v>57</v>
      </c>
      <c r="AD12" s="14" t="s">
        <v>57</v>
      </c>
      <c r="AE12" s="14" t="s">
        <v>58</v>
      </c>
      <c r="AF12" s="14" t="s">
        <v>57</v>
      </c>
      <c r="AG12" s="14" t="str">
        <f t="shared" si="2"/>
        <v>WO</v>
      </c>
      <c r="AH12" s="14" t="s">
        <v>57</v>
      </c>
      <c r="AI12" s="14" t="s">
        <v>57</v>
      </c>
      <c r="AJ12" s="14" t="s">
        <v>57</v>
      </c>
      <c r="AK12" s="14" t="s">
        <v>57</v>
      </c>
      <c r="AL12" s="14" t="s">
        <v>57</v>
      </c>
      <c r="AM12" s="14" t="s">
        <v>57</v>
      </c>
      <c r="AN12" s="32" t="str">
        <f t="shared" si="2"/>
        <v>WO</v>
      </c>
      <c r="AO12" s="39"/>
      <c r="AR12" s="43"/>
      <c r="AS12" s="22">
        <v>5</v>
      </c>
      <c r="AT12" s="14" t="s">
        <v>24</v>
      </c>
      <c r="AU12" s="14" t="str">
        <f t="shared" si="3"/>
        <v>May</v>
      </c>
      <c r="AV12" s="10" t="s">
        <v>7</v>
      </c>
      <c r="AW12" s="22">
        <f t="shared" si="4"/>
        <v>24</v>
      </c>
      <c r="AX12" s="22">
        <f t="shared" si="5"/>
        <v>0</v>
      </c>
      <c r="AY12" s="22">
        <f t="shared" si="6"/>
        <v>2</v>
      </c>
      <c r="AZ12" s="22">
        <f t="shared" si="7"/>
        <v>5</v>
      </c>
      <c r="BA12" s="22">
        <f t="shared" si="8"/>
        <v>31</v>
      </c>
      <c r="BB12" s="22">
        <f>JanMonthlyReport7[[#This Row],[Days]]-JanMonthlyReport7[[#This Row],[Absent]]</f>
        <v>31</v>
      </c>
      <c r="BC12" s="23">
        <v>16000</v>
      </c>
      <c r="BD12" s="23">
        <f>JanMonthlyReport7[[#This Row],[Basic Salary]]/JanMonthlyReport7[[#This Row],[Days]]</f>
        <v>516.12903225806451</v>
      </c>
      <c r="BE12" s="23">
        <f>JanMonthlyReport7[[#This Row],[Per Day Salary]]*JanMonthlyReport7[[#This Row],[Absent]]</f>
        <v>0</v>
      </c>
      <c r="BF12" s="26">
        <f>JanMonthlyReport7[[#This Row],[Basic Salary]]-JanMonthlyReport7[[#This Row],[Deduction]]</f>
        <v>16000</v>
      </c>
      <c r="BG12" s="21"/>
      <c r="BH12" s="43"/>
    </row>
    <row r="13" spans="1:60" x14ac:dyDescent="0.25">
      <c r="A13"/>
      <c r="B13"/>
      <c r="E13" s="39"/>
      <c r="F13" s="24">
        <v>6</v>
      </c>
      <c r="G13" s="14" t="s">
        <v>25</v>
      </c>
      <c r="H13" s="10" t="s">
        <v>8</v>
      </c>
      <c r="I13" s="15">
        <f t="shared" si="9"/>
        <v>5</v>
      </c>
      <c r="J13" s="14" t="s">
        <v>57</v>
      </c>
      <c r="K13" s="14" t="s">
        <v>57</v>
      </c>
      <c r="L13" s="14" t="str">
        <f t="shared" si="2"/>
        <v>WO</v>
      </c>
      <c r="M13" s="14" t="s">
        <v>58</v>
      </c>
      <c r="N13" s="14" t="s">
        <v>57</v>
      </c>
      <c r="O13" s="14" t="s">
        <v>57</v>
      </c>
      <c r="P13" s="14" t="s">
        <v>57</v>
      </c>
      <c r="Q13" s="14" t="s">
        <v>57</v>
      </c>
      <c r="R13" s="14" t="s">
        <v>57</v>
      </c>
      <c r="S13" s="14" t="str">
        <f t="shared" si="2"/>
        <v>WO</v>
      </c>
      <c r="T13" s="14" t="s">
        <v>57</v>
      </c>
      <c r="U13" s="14" t="s">
        <v>57</v>
      </c>
      <c r="V13" s="14" t="s">
        <v>57</v>
      </c>
      <c r="W13" s="14" t="s">
        <v>59</v>
      </c>
      <c r="X13" s="14" t="s">
        <v>57</v>
      </c>
      <c r="Y13" s="14" t="s">
        <v>57</v>
      </c>
      <c r="Z13" s="14" t="str">
        <f t="shared" si="2"/>
        <v>WO</v>
      </c>
      <c r="AA13" s="14" t="s">
        <v>57</v>
      </c>
      <c r="AB13" s="14" t="s">
        <v>57</v>
      </c>
      <c r="AC13" s="14" t="s">
        <v>57</v>
      </c>
      <c r="AD13" s="14" t="s">
        <v>57</v>
      </c>
      <c r="AE13" s="14" t="s">
        <v>58</v>
      </c>
      <c r="AF13" s="14" t="s">
        <v>57</v>
      </c>
      <c r="AG13" s="14" t="str">
        <f t="shared" si="2"/>
        <v>WO</v>
      </c>
      <c r="AH13" s="14" t="s">
        <v>59</v>
      </c>
      <c r="AI13" s="14" t="s">
        <v>57</v>
      </c>
      <c r="AJ13" s="14" t="s">
        <v>57</v>
      </c>
      <c r="AK13" s="14" t="s">
        <v>57</v>
      </c>
      <c r="AL13" s="14" t="s">
        <v>57</v>
      </c>
      <c r="AM13" s="14" t="s">
        <v>57</v>
      </c>
      <c r="AN13" s="32" t="str">
        <f t="shared" si="2"/>
        <v>WO</v>
      </c>
      <c r="AO13" s="39"/>
      <c r="AR13" s="43"/>
      <c r="AS13" s="22">
        <v>6</v>
      </c>
      <c r="AT13" s="14" t="s">
        <v>25</v>
      </c>
      <c r="AU13" s="14" t="str">
        <f t="shared" si="3"/>
        <v>May</v>
      </c>
      <c r="AV13" s="10" t="s">
        <v>8</v>
      </c>
      <c r="AW13" s="22">
        <f t="shared" si="4"/>
        <v>22</v>
      </c>
      <c r="AX13" s="22">
        <f t="shared" si="5"/>
        <v>2</v>
      </c>
      <c r="AY13" s="22">
        <f t="shared" si="6"/>
        <v>2</v>
      </c>
      <c r="AZ13" s="22">
        <f t="shared" si="7"/>
        <v>5</v>
      </c>
      <c r="BA13" s="22">
        <f t="shared" si="8"/>
        <v>31</v>
      </c>
      <c r="BB13" s="22">
        <f>JanMonthlyReport7[[#This Row],[Days]]-JanMonthlyReport7[[#This Row],[Absent]]</f>
        <v>29</v>
      </c>
      <c r="BC13" s="23">
        <v>12000</v>
      </c>
      <c r="BD13" s="23">
        <f>JanMonthlyReport7[[#This Row],[Basic Salary]]/JanMonthlyReport7[[#This Row],[Days]]</f>
        <v>387.09677419354841</v>
      </c>
      <c r="BE13" s="23">
        <f>JanMonthlyReport7[[#This Row],[Per Day Salary]]*JanMonthlyReport7[[#This Row],[Absent]]</f>
        <v>774.19354838709683</v>
      </c>
      <c r="BF13" s="26">
        <f>JanMonthlyReport7[[#This Row],[Basic Salary]]-JanMonthlyReport7[[#This Row],[Deduction]]</f>
        <v>11225.806451612903</v>
      </c>
      <c r="BG13" s="21"/>
      <c r="BH13" s="43"/>
    </row>
    <row r="14" spans="1:60" x14ac:dyDescent="0.25">
      <c r="A14"/>
      <c r="B14"/>
      <c r="E14" s="39"/>
      <c r="F14" s="24">
        <v>7</v>
      </c>
      <c r="G14" s="14" t="s">
        <v>26</v>
      </c>
      <c r="H14" s="10" t="s">
        <v>9</v>
      </c>
      <c r="I14" s="15">
        <f t="shared" si="9"/>
        <v>5</v>
      </c>
      <c r="J14" s="14" t="s">
        <v>57</v>
      </c>
      <c r="K14" s="14" t="s">
        <v>57</v>
      </c>
      <c r="L14" s="14" t="str">
        <f t="shared" si="2"/>
        <v>WO</v>
      </c>
      <c r="M14" s="14" t="s">
        <v>58</v>
      </c>
      <c r="N14" s="14" t="s">
        <v>57</v>
      </c>
      <c r="O14" s="14" t="s">
        <v>57</v>
      </c>
      <c r="P14" s="14" t="s">
        <v>57</v>
      </c>
      <c r="Q14" s="14" t="s">
        <v>57</v>
      </c>
      <c r="R14" s="14" t="s">
        <v>57</v>
      </c>
      <c r="S14" s="14" t="str">
        <f t="shared" si="2"/>
        <v>WO</v>
      </c>
      <c r="T14" s="14" t="s">
        <v>57</v>
      </c>
      <c r="U14" s="14" t="s">
        <v>57</v>
      </c>
      <c r="V14" s="14" t="s">
        <v>57</v>
      </c>
      <c r="W14" s="14" t="s">
        <v>57</v>
      </c>
      <c r="X14" s="14" t="s">
        <v>57</v>
      </c>
      <c r="Y14" s="14" t="s">
        <v>57</v>
      </c>
      <c r="Z14" s="14" t="str">
        <f t="shared" si="2"/>
        <v>WO</v>
      </c>
      <c r="AA14" s="14" t="s">
        <v>57</v>
      </c>
      <c r="AB14" s="14" t="s">
        <v>57</v>
      </c>
      <c r="AC14" s="14" t="s">
        <v>57</v>
      </c>
      <c r="AD14" s="14" t="s">
        <v>57</v>
      </c>
      <c r="AE14" s="14" t="s">
        <v>58</v>
      </c>
      <c r="AF14" s="14" t="s">
        <v>57</v>
      </c>
      <c r="AG14" s="14" t="str">
        <f t="shared" si="2"/>
        <v>WO</v>
      </c>
      <c r="AH14" s="14" t="s">
        <v>57</v>
      </c>
      <c r="AI14" s="14" t="s">
        <v>57</v>
      </c>
      <c r="AJ14" s="14" t="s">
        <v>59</v>
      </c>
      <c r="AK14" s="14" t="s">
        <v>57</v>
      </c>
      <c r="AL14" s="14" t="s">
        <v>57</v>
      </c>
      <c r="AM14" s="14" t="s">
        <v>57</v>
      </c>
      <c r="AN14" s="32" t="str">
        <f t="shared" si="2"/>
        <v>WO</v>
      </c>
      <c r="AO14" s="39"/>
      <c r="AR14" s="43"/>
      <c r="AS14" s="22">
        <v>7</v>
      </c>
      <c r="AT14" s="14" t="s">
        <v>26</v>
      </c>
      <c r="AU14" s="14" t="str">
        <f t="shared" si="3"/>
        <v>May</v>
      </c>
      <c r="AV14" s="10" t="s">
        <v>9</v>
      </c>
      <c r="AW14" s="22">
        <f t="shared" si="4"/>
        <v>23</v>
      </c>
      <c r="AX14" s="22">
        <f t="shared" si="5"/>
        <v>1</v>
      </c>
      <c r="AY14" s="22">
        <f t="shared" si="6"/>
        <v>2</v>
      </c>
      <c r="AZ14" s="22">
        <f t="shared" si="7"/>
        <v>5</v>
      </c>
      <c r="BA14" s="22">
        <f t="shared" si="8"/>
        <v>31</v>
      </c>
      <c r="BB14" s="22">
        <f>JanMonthlyReport7[[#This Row],[Days]]-JanMonthlyReport7[[#This Row],[Absent]]</f>
        <v>30</v>
      </c>
      <c r="BC14" s="23">
        <v>13000</v>
      </c>
      <c r="BD14" s="23">
        <f>JanMonthlyReport7[[#This Row],[Basic Salary]]/JanMonthlyReport7[[#This Row],[Days]]</f>
        <v>419.35483870967744</v>
      </c>
      <c r="BE14" s="23">
        <f>JanMonthlyReport7[[#This Row],[Per Day Salary]]*JanMonthlyReport7[[#This Row],[Absent]]</f>
        <v>419.35483870967744</v>
      </c>
      <c r="BF14" s="26">
        <f>JanMonthlyReport7[[#This Row],[Basic Salary]]-JanMonthlyReport7[[#This Row],[Deduction]]</f>
        <v>12580.645161290322</v>
      </c>
      <c r="BG14" s="21"/>
      <c r="BH14" s="43"/>
    </row>
    <row r="15" spans="1:60" x14ac:dyDescent="0.25">
      <c r="A15"/>
      <c r="B15"/>
      <c r="E15" s="39"/>
      <c r="F15" s="24">
        <v>8</v>
      </c>
      <c r="G15" s="14" t="s">
        <v>27</v>
      </c>
      <c r="H15" s="10" t="s">
        <v>11</v>
      </c>
      <c r="I15" s="15">
        <f t="shared" si="9"/>
        <v>5</v>
      </c>
      <c r="J15" s="14" t="s">
        <v>57</v>
      </c>
      <c r="K15" s="14" t="s">
        <v>57</v>
      </c>
      <c r="L15" s="14" t="str">
        <f t="shared" si="2"/>
        <v>WO</v>
      </c>
      <c r="M15" s="14" t="s">
        <v>58</v>
      </c>
      <c r="N15" s="14" t="s">
        <v>57</v>
      </c>
      <c r="O15" s="14" t="s">
        <v>57</v>
      </c>
      <c r="P15" s="14" t="s">
        <v>57</v>
      </c>
      <c r="Q15" s="14" t="s">
        <v>57</v>
      </c>
      <c r="R15" s="14" t="s">
        <v>57</v>
      </c>
      <c r="S15" s="14" t="str">
        <f t="shared" si="2"/>
        <v>WO</v>
      </c>
      <c r="T15" s="14" t="s">
        <v>57</v>
      </c>
      <c r="U15" s="14" t="s">
        <v>57</v>
      </c>
      <c r="V15" s="14" t="s">
        <v>57</v>
      </c>
      <c r="W15" s="14" t="s">
        <v>57</v>
      </c>
      <c r="X15" s="14" t="s">
        <v>57</v>
      </c>
      <c r="Y15" s="14" t="s">
        <v>57</v>
      </c>
      <c r="Z15" s="14" t="str">
        <f t="shared" si="2"/>
        <v>WO</v>
      </c>
      <c r="AA15" s="14" t="s">
        <v>57</v>
      </c>
      <c r="AB15" s="14" t="s">
        <v>57</v>
      </c>
      <c r="AC15" s="14" t="s">
        <v>59</v>
      </c>
      <c r="AD15" s="14" t="s">
        <v>57</v>
      </c>
      <c r="AE15" s="14" t="s">
        <v>58</v>
      </c>
      <c r="AF15" s="14" t="s">
        <v>57</v>
      </c>
      <c r="AG15" s="14" t="str">
        <f t="shared" si="2"/>
        <v>WO</v>
      </c>
      <c r="AH15" s="14" t="s">
        <v>57</v>
      </c>
      <c r="AI15" s="14" t="s">
        <v>57</v>
      </c>
      <c r="AJ15" s="14" t="s">
        <v>57</v>
      </c>
      <c r="AK15" s="14" t="s">
        <v>57</v>
      </c>
      <c r="AL15" s="14" t="s">
        <v>57</v>
      </c>
      <c r="AM15" s="14" t="s">
        <v>57</v>
      </c>
      <c r="AN15" s="32" t="str">
        <f t="shared" si="2"/>
        <v>WO</v>
      </c>
      <c r="AO15" s="39"/>
      <c r="AR15" s="43"/>
      <c r="AS15" s="22">
        <v>8</v>
      </c>
      <c r="AT15" s="14" t="s">
        <v>27</v>
      </c>
      <c r="AU15" s="14" t="str">
        <f t="shared" si="3"/>
        <v>May</v>
      </c>
      <c r="AV15" s="10" t="s">
        <v>11</v>
      </c>
      <c r="AW15" s="22">
        <f t="shared" si="4"/>
        <v>23</v>
      </c>
      <c r="AX15" s="22">
        <f t="shared" si="5"/>
        <v>1</v>
      </c>
      <c r="AY15" s="22">
        <f t="shared" si="6"/>
        <v>2</v>
      </c>
      <c r="AZ15" s="22">
        <f t="shared" si="7"/>
        <v>5</v>
      </c>
      <c r="BA15" s="22">
        <f t="shared" si="8"/>
        <v>31</v>
      </c>
      <c r="BB15" s="22">
        <f>JanMonthlyReport7[[#This Row],[Days]]-JanMonthlyReport7[[#This Row],[Absent]]</f>
        <v>30</v>
      </c>
      <c r="BC15" s="23">
        <v>8000</v>
      </c>
      <c r="BD15" s="23">
        <f>JanMonthlyReport7[[#This Row],[Basic Salary]]/JanMonthlyReport7[[#This Row],[Days]]</f>
        <v>258.06451612903226</v>
      </c>
      <c r="BE15" s="23">
        <f>JanMonthlyReport7[[#This Row],[Per Day Salary]]*JanMonthlyReport7[[#This Row],[Absent]]</f>
        <v>258.06451612903226</v>
      </c>
      <c r="BF15" s="26">
        <f>JanMonthlyReport7[[#This Row],[Basic Salary]]-JanMonthlyReport7[[#This Row],[Deduction]]</f>
        <v>7741.9354838709678</v>
      </c>
      <c r="BG15" s="21"/>
      <c r="BH15" s="43"/>
    </row>
    <row r="16" spans="1:60" x14ac:dyDescent="0.25">
      <c r="A16"/>
      <c r="B16"/>
      <c r="E16" s="39"/>
      <c r="F16" s="24">
        <v>9</v>
      </c>
      <c r="G16" s="14" t="s">
        <v>28</v>
      </c>
      <c r="H16" s="10" t="s">
        <v>10</v>
      </c>
      <c r="I16" s="15">
        <f t="shared" si="9"/>
        <v>5</v>
      </c>
      <c r="J16" s="14" t="s">
        <v>57</v>
      </c>
      <c r="K16" s="14" t="s">
        <v>57</v>
      </c>
      <c r="L16" s="14" t="str">
        <f t="shared" si="2"/>
        <v>WO</v>
      </c>
      <c r="M16" s="14" t="s">
        <v>58</v>
      </c>
      <c r="N16" s="14" t="s">
        <v>57</v>
      </c>
      <c r="O16" s="14" t="s">
        <v>57</v>
      </c>
      <c r="P16" s="14" t="s">
        <v>57</v>
      </c>
      <c r="Q16" s="14" t="s">
        <v>57</v>
      </c>
      <c r="R16" s="14" t="s">
        <v>57</v>
      </c>
      <c r="S16" s="14" t="str">
        <f t="shared" si="2"/>
        <v>WO</v>
      </c>
      <c r="T16" s="14" t="s">
        <v>57</v>
      </c>
      <c r="U16" s="14" t="s">
        <v>57</v>
      </c>
      <c r="V16" s="14" t="s">
        <v>57</v>
      </c>
      <c r="W16" s="14" t="s">
        <v>57</v>
      </c>
      <c r="X16" s="14" t="s">
        <v>57</v>
      </c>
      <c r="Y16" s="14" t="s">
        <v>57</v>
      </c>
      <c r="Z16" s="14" t="str">
        <f t="shared" ref="Z16:AN24" si="10">IF(Z$6 = "sun","WO","")</f>
        <v>WO</v>
      </c>
      <c r="AA16" s="14" t="s">
        <v>57</v>
      </c>
      <c r="AB16" s="14" t="s">
        <v>57</v>
      </c>
      <c r="AC16" s="14" t="s">
        <v>57</v>
      </c>
      <c r="AD16" s="14" t="s">
        <v>57</v>
      </c>
      <c r="AE16" s="14" t="s">
        <v>58</v>
      </c>
      <c r="AF16" s="14" t="s">
        <v>57</v>
      </c>
      <c r="AG16" s="14" t="str">
        <f t="shared" si="10"/>
        <v>WO</v>
      </c>
      <c r="AH16" s="14" t="s">
        <v>57</v>
      </c>
      <c r="AI16" s="14" t="s">
        <v>57</v>
      </c>
      <c r="AJ16" s="14" t="s">
        <v>57</v>
      </c>
      <c r="AK16" s="14" t="s">
        <v>57</v>
      </c>
      <c r="AL16" s="14" t="s">
        <v>57</v>
      </c>
      <c r="AM16" s="14" t="s">
        <v>57</v>
      </c>
      <c r="AN16" s="32" t="str">
        <f t="shared" si="10"/>
        <v>WO</v>
      </c>
      <c r="AO16" s="39"/>
      <c r="AR16" s="43"/>
      <c r="AS16" s="22">
        <v>9</v>
      </c>
      <c r="AT16" s="14" t="s">
        <v>28</v>
      </c>
      <c r="AU16" s="14" t="str">
        <f t="shared" si="3"/>
        <v>May</v>
      </c>
      <c r="AV16" s="10" t="s">
        <v>10</v>
      </c>
      <c r="AW16" s="22">
        <f t="shared" si="4"/>
        <v>24</v>
      </c>
      <c r="AX16" s="22">
        <f t="shared" si="5"/>
        <v>0</v>
      </c>
      <c r="AY16" s="22">
        <f t="shared" si="6"/>
        <v>2</v>
      </c>
      <c r="AZ16" s="22">
        <f t="shared" si="7"/>
        <v>5</v>
      </c>
      <c r="BA16" s="22">
        <f t="shared" si="8"/>
        <v>31</v>
      </c>
      <c r="BB16" s="22">
        <f>JanMonthlyReport7[[#This Row],[Days]]-JanMonthlyReport7[[#This Row],[Absent]]</f>
        <v>31</v>
      </c>
      <c r="BC16" s="23">
        <v>10000</v>
      </c>
      <c r="BD16" s="23">
        <f>JanMonthlyReport7[[#This Row],[Basic Salary]]/JanMonthlyReport7[[#This Row],[Days]]</f>
        <v>322.58064516129031</v>
      </c>
      <c r="BE16" s="23">
        <f>JanMonthlyReport7[[#This Row],[Per Day Salary]]*JanMonthlyReport7[[#This Row],[Absent]]</f>
        <v>0</v>
      </c>
      <c r="BF16" s="26">
        <f>JanMonthlyReport7[[#This Row],[Basic Salary]]-JanMonthlyReport7[[#This Row],[Deduction]]</f>
        <v>10000</v>
      </c>
      <c r="BG16" s="21"/>
      <c r="BH16" s="43"/>
    </row>
    <row r="17" spans="1:60" x14ac:dyDescent="0.25">
      <c r="A17"/>
      <c r="B17"/>
      <c r="E17" s="39"/>
      <c r="F17" s="24">
        <v>10</v>
      </c>
      <c r="G17" s="14" t="s">
        <v>29</v>
      </c>
      <c r="H17" s="10" t="s">
        <v>12</v>
      </c>
      <c r="I17" s="15">
        <f t="shared" si="9"/>
        <v>5</v>
      </c>
      <c r="J17" s="14" t="s">
        <v>57</v>
      </c>
      <c r="K17" s="14" t="s">
        <v>57</v>
      </c>
      <c r="L17" s="14" t="str">
        <f t="shared" ref="J9:Y24" si="11">IF(L$6 = "sun","WO","")</f>
        <v>WO</v>
      </c>
      <c r="M17" s="14" t="s">
        <v>58</v>
      </c>
      <c r="N17" s="14" t="s">
        <v>57</v>
      </c>
      <c r="O17" s="14" t="s">
        <v>57</v>
      </c>
      <c r="P17" s="14" t="s">
        <v>57</v>
      </c>
      <c r="Q17" s="14" t="s">
        <v>57</v>
      </c>
      <c r="R17" s="14" t="s">
        <v>57</v>
      </c>
      <c r="S17" s="14" t="str">
        <f t="shared" si="11"/>
        <v>WO</v>
      </c>
      <c r="T17" s="14" t="s">
        <v>57</v>
      </c>
      <c r="U17" s="14" t="s">
        <v>57</v>
      </c>
      <c r="V17" s="14" t="s">
        <v>57</v>
      </c>
      <c r="W17" s="14" t="s">
        <v>57</v>
      </c>
      <c r="X17" s="14" t="s">
        <v>57</v>
      </c>
      <c r="Y17" s="14" t="s">
        <v>57</v>
      </c>
      <c r="Z17" s="14" t="str">
        <f t="shared" si="10"/>
        <v>WO</v>
      </c>
      <c r="AA17" s="14" t="s">
        <v>57</v>
      </c>
      <c r="AB17" s="14" t="s">
        <v>57</v>
      </c>
      <c r="AC17" s="14" t="s">
        <v>57</v>
      </c>
      <c r="AD17" s="14" t="s">
        <v>57</v>
      </c>
      <c r="AE17" s="14" t="s">
        <v>58</v>
      </c>
      <c r="AF17" s="14" t="s">
        <v>57</v>
      </c>
      <c r="AG17" s="14" t="str">
        <f t="shared" si="10"/>
        <v>WO</v>
      </c>
      <c r="AH17" s="14" t="s">
        <v>57</v>
      </c>
      <c r="AI17" s="14" t="s">
        <v>57</v>
      </c>
      <c r="AJ17" s="14" t="s">
        <v>57</v>
      </c>
      <c r="AK17" s="14" t="s">
        <v>57</v>
      </c>
      <c r="AL17" s="14" t="s">
        <v>57</v>
      </c>
      <c r="AM17" s="14" t="s">
        <v>57</v>
      </c>
      <c r="AN17" s="32" t="str">
        <f t="shared" si="10"/>
        <v>WO</v>
      </c>
      <c r="AO17" s="39"/>
      <c r="AR17" s="43"/>
      <c r="AS17" s="22">
        <v>10</v>
      </c>
      <c r="AT17" s="14" t="s">
        <v>29</v>
      </c>
      <c r="AU17" s="14" t="str">
        <f t="shared" si="3"/>
        <v>May</v>
      </c>
      <c r="AV17" s="10" t="s">
        <v>12</v>
      </c>
      <c r="AW17" s="22">
        <f t="shared" si="4"/>
        <v>24</v>
      </c>
      <c r="AX17" s="22">
        <f t="shared" si="5"/>
        <v>0</v>
      </c>
      <c r="AY17" s="22">
        <f t="shared" si="6"/>
        <v>2</v>
      </c>
      <c r="AZ17" s="22">
        <f t="shared" si="7"/>
        <v>5</v>
      </c>
      <c r="BA17" s="22">
        <f t="shared" si="8"/>
        <v>31</v>
      </c>
      <c r="BB17" s="22">
        <f>JanMonthlyReport7[[#This Row],[Days]]-JanMonthlyReport7[[#This Row],[Absent]]</f>
        <v>31</v>
      </c>
      <c r="BC17" s="23">
        <v>13000</v>
      </c>
      <c r="BD17" s="23">
        <f>JanMonthlyReport7[[#This Row],[Basic Salary]]/JanMonthlyReport7[[#This Row],[Days]]</f>
        <v>419.35483870967744</v>
      </c>
      <c r="BE17" s="23">
        <f>JanMonthlyReport7[[#This Row],[Per Day Salary]]*JanMonthlyReport7[[#This Row],[Absent]]</f>
        <v>0</v>
      </c>
      <c r="BF17" s="26">
        <f>JanMonthlyReport7[[#This Row],[Basic Salary]]-JanMonthlyReport7[[#This Row],[Deduction]]</f>
        <v>13000</v>
      </c>
      <c r="BG17" s="21"/>
      <c r="BH17" s="43"/>
    </row>
    <row r="18" spans="1:60" x14ac:dyDescent="0.25">
      <c r="A18"/>
      <c r="B18"/>
      <c r="E18" s="39"/>
      <c r="F18" s="24">
        <v>11</v>
      </c>
      <c r="G18" s="14" t="s">
        <v>30</v>
      </c>
      <c r="H18" s="10" t="s">
        <v>13</v>
      </c>
      <c r="I18" s="15">
        <f t="shared" si="9"/>
        <v>5</v>
      </c>
      <c r="J18" s="14" t="s">
        <v>57</v>
      </c>
      <c r="K18" s="14" t="s">
        <v>57</v>
      </c>
      <c r="L18" s="14" t="str">
        <f t="shared" si="11"/>
        <v>WO</v>
      </c>
      <c r="M18" s="14" t="s">
        <v>58</v>
      </c>
      <c r="N18" s="14" t="s">
        <v>57</v>
      </c>
      <c r="O18" s="14" t="s">
        <v>57</v>
      </c>
      <c r="P18" s="14" t="s">
        <v>59</v>
      </c>
      <c r="Q18" s="14" t="s">
        <v>57</v>
      </c>
      <c r="R18" s="14" t="s">
        <v>57</v>
      </c>
      <c r="S18" s="14" t="str">
        <f t="shared" si="11"/>
        <v>WO</v>
      </c>
      <c r="T18" s="14" t="s">
        <v>57</v>
      </c>
      <c r="U18" s="14" t="s">
        <v>59</v>
      </c>
      <c r="V18" s="14" t="s">
        <v>57</v>
      </c>
      <c r="W18" s="14" t="s">
        <v>57</v>
      </c>
      <c r="X18" s="14" t="s">
        <v>57</v>
      </c>
      <c r="Y18" s="14" t="s">
        <v>57</v>
      </c>
      <c r="Z18" s="14" t="str">
        <f t="shared" si="10"/>
        <v>WO</v>
      </c>
      <c r="AA18" s="14" t="s">
        <v>57</v>
      </c>
      <c r="AB18" s="14" t="s">
        <v>57</v>
      </c>
      <c r="AC18" s="14" t="s">
        <v>57</v>
      </c>
      <c r="AD18" s="14" t="s">
        <v>57</v>
      </c>
      <c r="AE18" s="14" t="s">
        <v>58</v>
      </c>
      <c r="AF18" s="14" t="s">
        <v>57</v>
      </c>
      <c r="AG18" s="14" t="str">
        <f t="shared" si="10"/>
        <v>WO</v>
      </c>
      <c r="AH18" s="14" t="s">
        <v>57</v>
      </c>
      <c r="AI18" s="14" t="s">
        <v>57</v>
      </c>
      <c r="AJ18" s="14" t="s">
        <v>59</v>
      </c>
      <c r="AK18" s="14" t="s">
        <v>57</v>
      </c>
      <c r="AL18" s="14" t="s">
        <v>59</v>
      </c>
      <c r="AM18" s="14" t="s">
        <v>57</v>
      </c>
      <c r="AN18" s="32" t="str">
        <f t="shared" si="10"/>
        <v>WO</v>
      </c>
      <c r="AO18" s="39"/>
      <c r="AR18" s="43"/>
      <c r="AS18" s="22">
        <v>11</v>
      </c>
      <c r="AT18" s="14" t="s">
        <v>30</v>
      </c>
      <c r="AU18" s="14" t="str">
        <f t="shared" si="3"/>
        <v>May</v>
      </c>
      <c r="AV18" s="10" t="s">
        <v>13</v>
      </c>
      <c r="AW18" s="22">
        <f t="shared" si="4"/>
        <v>20</v>
      </c>
      <c r="AX18" s="22">
        <f t="shared" si="5"/>
        <v>4</v>
      </c>
      <c r="AY18" s="22">
        <f t="shared" si="6"/>
        <v>2</v>
      </c>
      <c r="AZ18" s="22">
        <f t="shared" si="7"/>
        <v>5</v>
      </c>
      <c r="BA18" s="22">
        <f t="shared" si="8"/>
        <v>31</v>
      </c>
      <c r="BB18" s="22">
        <f>JanMonthlyReport7[[#This Row],[Days]]-JanMonthlyReport7[[#This Row],[Absent]]</f>
        <v>27</v>
      </c>
      <c r="BC18" s="23">
        <v>10000</v>
      </c>
      <c r="BD18" s="23">
        <f>JanMonthlyReport7[[#This Row],[Basic Salary]]/JanMonthlyReport7[[#This Row],[Days]]</f>
        <v>322.58064516129031</v>
      </c>
      <c r="BE18" s="23">
        <f>JanMonthlyReport7[[#This Row],[Per Day Salary]]*JanMonthlyReport7[[#This Row],[Absent]]</f>
        <v>1290.3225806451612</v>
      </c>
      <c r="BF18" s="26">
        <f>JanMonthlyReport7[[#This Row],[Basic Salary]]-JanMonthlyReport7[[#This Row],[Deduction]]</f>
        <v>8709.677419354839</v>
      </c>
      <c r="BG18" s="21"/>
      <c r="BH18" s="43"/>
    </row>
    <row r="19" spans="1:60" x14ac:dyDescent="0.25">
      <c r="A19"/>
      <c r="B19"/>
      <c r="E19" s="39"/>
      <c r="F19" s="24">
        <v>12</v>
      </c>
      <c r="G19" s="14" t="s">
        <v>31</v>
      </c>
      <c r="H19" s="10" t="s">
        <v>14</v>
      </c>
      <c r="I19" s="15">
        <f t="shared" si="9"/>
        <v>5</v>
      </c>
      <c r="J19" s="14" t="s">
        <v>57</v>
      </c>
      <c r="K19" s="14" t="s">
        <v>57</v>
      </c>
      <c r="L19" s="14" t="str">
        <f t="shared" si="11"/>
        <v>WO</v>
      </c>
      <c r="M19" s="14" t="s">
        <v>58</v>
      </c>
      <c r="N19" s="14" t="s">
        <v>57</v>
      </c>
      <c r="O19" s="14" t="s">
        <v>57</v>
      </c>
      <c r="P19" s="14" t="s">
        <v>57</v>
      </c>
      <c r="Q19" s="14" t="s">
        <v>57</v>
      </c>
      <c r="R19" s="14" t="s">
        <v>57</v>
      </c>
      <c r="S19" s="14" t="str">
        <f t="shared" si="11"/>
        <v>WO</v>
      </c>
      <c r="T19" s="14" t="s">
        <v>57</v>
      </c>
      <c r="U19" s="14" t="s">
        <v>57</v>
      </c>
      <c r="V19" s="14" t="s">
        <v>57</v>
      </c>
      <c r="W19" s="14" t="s">
        <v>57</v>
      </c>
      <c r="X19" s="14" t="s">
        <v>57</v>
      </c>
      <c r="Y19" s="14" t="s">
        <v>57</v>
      </c>
      <c r="Z19" s="14" t="str">
        <f t="shared" si="10"/>
        <v>WO</v>
      </c>
      <c r="AA19" s="14" t="s">
        <v>57</v>
      </c>
      <c r="AB19" s="14" t="s">
        <v>57</v>
      </c>
      <c r="AC19" s="14" t="s">
        <v>57</v>
      </c>
      <c r="AD19" s="14" t="s">
        <v>57</v>
      </c>
      <c r="AE19" s="14" t="s">
        <v>58</v>
      </c>
      <c r="AF19" s="14" t="s">
        <v>57</v>
      </c>
      <c r="AG19" s="14" t="str">
        <f t="shared" si="10"/>
        <v>WO</v>
      </c>
      <c r="AH19" s="14" t="s">
        <v>57</v>
      </c>
      <c r="AI19" s="14" t="s">
        <v>57</v>
      </c>
      <c r="AJ19" s="14" t="s">
        <v>57</v>
      </c>
      <c r="AK19" s="14" t="s">
        <v>57</v>
      </c>
      <c r="AL19" s="14" t="s">
        <v>57</v>
      </c>
      <c r="AM19" s="14" t="s">
        <v>57</v>
      </c>
      <c r="AN19" s="32" t="str">
        <f t="shared" si="10"/>
        <v>WO</v>
      </c>
      <c r="AO19" s="39"/>
      <c r="AR19" s="43"/>
      <c r="AS19" s="22">
        <v>12</v>
      </c>
      <c r="AT19" s="14" t="s">
        <v>31</v>
      </c>
      <c r="AU19" s="14" t="str">
        <f t="shared" si="3"/>
        <v>May</v>
      </c>
      <c r="AV19" s="10" t="s">
        <v>14</v>
      </c>
      <c r="AW19" s="22">
        <f t="shared" si="4"/>
        <v>24</v>
      </c>
      <c r="AX19" s="22">
        <f t="shared" si="5"/>
        <v>0</v>
      </c>
      <c r="AY19" s="22">
        <f t="shared" si="6"/>
        <v>2</v>
      </c>
      <c r="AZ19" s="22">
        <f t="shared" si="7"/>
        <v>5</v>
      </c>
      <c r="BA19" s="22">
        <f t="shared" si="8"/>
        <v>31</v>
      </c>
      <c r="BB19" s="22">
        <f>JanMonthlyReport7[[#This Row],[Days]]-JanMonthlyReport7[[#This Row],[Absent]]</f>
        <v>31</v>
      </c>
      <c r="BC19" s="23">
        <v>9000</v>
      </c>
      <c r="BD19" s="23">
        <f>JanMonthlyReport7[[#This Row],[Basic Salary]]/JanMonthlyReport7[[#This Row],[Days]]</f>
        <v>290.32258064516128</v>
      </c>
      <c r="BE19" s="23">
        <f>JanMonthlyReport7[[#This Row],[Per Day Salary]]*JanMonthlyReport7[[#This Row],[Absent]]</f>
        <v>0</v>
      </c>
      <c r="BF19" s="26">
        <f>JanMonthlyReport7[[#This Row],[Basic Salary]]-JanMonthlyReport7[[#This Row],[Deduction]]</f>
        <v>9000</v>
      </c>
      <c r="BG19" s="21"/>
      <c r="BH19" s="43"/>
    </row>
    <row r="20" spans="1:60" x14ac:dyDescent="0.25">
      <c r="A20"/>
      <c r="B20"/>
      <c r="E20" s="39"/>
      <c r="F20" s="24">
        <v>13</v>
      </c>
      <c r="G20" s="14" t="s">
        <v>32</v>
      </c>
      <c r="H20" s="10" t="s">
        <v>15</v>
      </c>
      <c r="I20" s="15">
        <f t="shared" si="9"/>
        <v>5</v>
      </c>
      <c r="J20" s="14" t="s">
        <v>57</v>
      </c>
      <c r="K20" s="14" t="s">
        <v>57</v>
      </c>
      <c r="L20" s="14" t="str">
        <f t="shared" si="11"/>
        <v>WO</v>
      </c>
      <c r="M20" s="14" t="s">
        <v>58</v>
      </c>
      <c r="N20" s="14" t="s">
        <v>57</v>
      </c>
      <c r="O20" s="14" t="s">
        <v>57</v>
      </c>
      <c r="P20" s="14" t="s">
        <v>57</v>
      </c>
      <c r="Q20" s="14" t="s">
        <v>57</v>
      </c>
      <c r="R20" s="14" t="s">
        <v>57</v>
      </c>
      <c r="S20" s="14" t="str">
        <f t="shared" si="11"/>
        <v>WO</v>
      </c>
      <c r="T20" s="14" t="s">
        <v>57</v>
      </c>
      <c r="U20" s="14" t="s">
        <v>57</v>
      </c>
      <c r="V20" s="14" t="s">
        <v>57</v>
      </c>
      <c r="W20" s="14" t="s">
        <v>57</v>
      </c>
      <c r="X20" s="14" t="s">
        <v>57</v>
      </c>
      <c r="Y20" s="14" t="s">
        <v>57</v>
      </c>
      <c r="Z20" s="14" t="str">
        <f t="shared" si="10"/>
        <v>WO</v>
      </c>
      <c r="AA20" s="14" t="s">
        <v>57</v>
      </c>
      <c r="AB20" s="14" t="s">
        <v>57</v>
      </c>
      <c r="AC20" s="14" t="s">
        <v>57</v>
      </c>
      <c r="AD20" s="14" t="s">
        <v>57</v>
      </c>
      <c r="AE20" s="14" t="s">
        <v>58</v>
      </c>
      <c r="AF20" s="14" t="s">
        <v>57</v>
      </c>
      <c r="AG20" s="14" t="str">
        <f t="shared" si="10"/>
        <v>WO</v>
      </c>
      <c r="AH20" s="14" t="s">
        <v>57</v>
      </c>
      <c r="AI20" s="14" t="s">
        <v>57</v>
      </c>
      <c r="AJ20" s="14" t="s">
        <v>57</v>
      </c>
      <c r="AK20" s="14" t="s">
        <v>57</v>
      </c>
      <c r="AL20" s="14" t="s">
        <v>57</v>
      </c>
      <c r="AM20" s="14" t="s">
        <v>57</v>
      </c>
      <c r="AN20" s="32" t="str">
        <f t="shared" si="10"/>
        <v>WO</v>
      </c>
      <c r="AO20" s="39"/>
      <c r="AR20" s="43"/>
      <c r="AS20" s="22">
        <v>13</v>
      </c>
      <c r="AT20" s="14" t="s">
        <v>32</v>
      </c>
      <c r="AU20" s="14" t="str">
        <f t="shared" si="3"/>
        <v>May</v>
      </c>
      <c r="AV20" s="10" t="s">
        <v>15</v>
      </c>
      <c r="AW20" s="22">
        <f t="shared" si="4"/>
        <v>24</v>
      </c>
      <c r="AX20" s="22">
        <f t="shared" si="5"/>
        <v>0</v>
      </c>
      <c r="AY20" s="22">
        <f t="shared" si="6"/>
        <v>2</v>
      </c>
      <c r="AZ20" s="22">
        <f t="shared" si="7"/>
        <v>5</v>
      </c>
      <c r="BA20" s="22">
        <f t="shared" si="8"/>
        <v>31</v>
      </c>
      <c r="BB20" s="22">
        <f>JanMonthlyReport7[[#This Row],[Days]]-JanMonthlyReport7[[#This Row],[Absent]]</f>
        <v>31</v>
      </c>
      <c r="BC20" s="23">
        <v>10000</v>
      </c>
      <c r="BD20" s="23">
        <f>JanMonthlyReport7[[#This Row],[Basic Salary]]/JanMonthlyReport7[[#This Row],[Days]]</f>
        <v>322.58064516129031</v>
      </c>
      <c r="BE20" s="23">
        <f>JanMonthlyReport7[[#This Row],[Per Day Salary]]*JanMonthlyReport7[[#This Row],[Absent]]</f>
        <v>0</v>
      </c>
      <c r="BF20" s="26">
        <f>JanMonthlyReport7[[#This Row],[Basic Salary]]-JanMonthlyReport7[[#This Row],[Deduction]]</f>
        <v>10000</v>
      </c>
      <c r="BG20" s="21"/>
      <c r="BH20" s="43"/>
    </row>
    <row r="21" spans="1:60" x14ac:dyDescent="0.25">
      <c r="A21"/>
      <c r="B21"/>
      <c r="E21" s="39"/>
      <c r="F21" s="24">
        <v>14</v>
      </c>
      <c r="G21" s="14" t="s">
        <v>33</v>
      </c>
      <c r="H21" s="10" t="s">
        <v>16</v>
      </c>
      <c r="I21" s="15">
        <f t="shared" si="9"/>
        <v>5</v>
      </c>
      <c r="J21" s="14" t="s">
        <v>57</v>
      </c>
      <c r="K21" s="14" t="s">
        <v>57</v>
      </c>
      <c r="L21" s="14" t="str">
        <f t="shared" si="11"/>
        <v>WO</v>
      </c>
      <c r="M21" s="14" t="s">
        <v>58</v>
      </c>
      <c r="N21" s="14" t="s">
        <v>57</v>
      </c>
      <c r="O21" s="14" t="s">
        <v>57</v>
      </c>
      <c r="P21" s="14" t="s">
        <v>57</v>
      </c>
      <c r="Q21" s="14" t="s">
        <v>57</v>
      </c>
      <c r="R21" s="14" t="s">
        <v>57</v>
      </c>
      <c r="S21" s="14" t="str">
        <f t="shared" si="11"/>
        <v>WO</v>
      </c>
      <c r="T21" s="14" t="s">
        <v>57</v>
      </c>
      <c r="U21" s="14" t="s">
        <v>57</v>
      </c>
      <c r="V21" s="14" t="s">
        <v>57</v>
      </c>
      <c r="W21" s="14" t="s">
        <v>57</v>
      </c>
      <c r="X21" s="14" t="s">
        <v>57</v>
      </c>
      <c r="Y21" s="14" t="s">
        <v>57</v>
      </c>
      <c r="Z21" s="14" t="str">
        <f t="shared" si="10"/>
        <v>WO</v>
      </c>
      <c r="AA21" s="14" t="s">
        <v>57</v>
      </c>
      <c r="AB21" s="14" t="s">
        <v>57</v>
      </c>
      <c r="AC21" s="14" t="s">
        <v>57</v>
      </c>
      <c r="AD21" s="14" t="s">
        <v>57</v>
      </c>
      <c r="AE21" s="14" t="s">
        <v>58</v>
      </c>
      <c r="AF21" s="14" t="s">
        <v>57</v>
      </c>
      <c r="AG21" s="14" t="str">
        <f t="shared" si="10"/>
        <v>WO</v>
      </c>
      <c r="AH21" s="14" t="s">
        <v>57</v>
      </c>
      <c r="AI21" s="14" t="s">
        <v>59</v>
      </c>
      <c r="AJ21" s="14" t="s">
        <v>57</v>
      </c>
      <c r="AK21" s="14" t="s">
        <v>57</v>
      </c>
      <c r="AL21" s="14" t="s">
        <v>57</v>
      </c>
      <c r="AM21" s="14" t="s">
        <v>57</v>
      </c>
      <c r="AN21" s="32" t="str">
        <f t="shared" si="10"/>
        <v>WO</v>
      </c>
      <c r="AO21" s="39"/>
      <c r="AR21" s="43"/>
      <c r="AS21" s="22">
        <v>14</v>
      </c>
      <c r="AT21" s="14" t="s">
        <v>33</v>
      </c>
      <c r="AU21" s="14" t="str">
        <f t="shared" si="3"/>
        <v>May</v>
      </c>
      <c r="AV21" s="10" t="s">
        <v>16</v>
      </c>
      <c r="AW21" s="22">
        <f t="shared" si="4"/>
        <v>23</v>
      </c>
      <c r="AX21" s="22">
        <f t="shared" si="5"/>
        <v>1</v>
      </c>
      <c r="AY21" s="22">
        <f t="shared" si="6"/>
        <v>2</v>
      </c>
      <c r="AZ21" s="22">
        <f t="shared" si="7"/>
        <v>5</v>
      </c>
      <c r="BA21" s="22">
        <f t="shared" si="8"/>
        <v>31</v>
      </c>
      <c r="BB21" s="22">
        <f>JanMonthlyReport7[[#This Row],[Days]]-JanMonthlyReport7[[#This Row],[Absent]]</f>
        <v>30</v>
      </c>
      <c r="BC21" s="23">
        <v>10000</v>
      </c>
      <c r="BD21" s="23">
        <f>JanMonthlyReport7[[#This Row],[Basic Salary]]/JanMonthlyReport7[[#This Row],[Days]]</f>
        <v>322.58064516129031</v>
      </c>
      <c r="BE21" s="23">
        <f>JanMonthlyReport7[[#This Row],[Per Day Salary]]*JanMonthlyReport7[[#This Row],[Absent]]</f>
        <v>322.58064516129031</v>
      </c>
      <c r="BF21" s="26">
        <f>JanMonthlyReport7[[#This Row],[Basic Salary]]-JanMonthlyReport7[[#This Row],[Deduction]]</f>
        <v>9677.4193548387102</v>
      </c>
      <c r="BG21" s="21"/>
      <c r="BH21" s="43"/>
    </row>
    <row r="22" spans="1:60" x14ac:dyDescent="0.25">
      <c r="A22"/>
      <c r="B22"/>
      <c r="E22" s="39"/>
      <c r="F22" s="24">
        <v>15</v>
      </c>
      <c r="G22" s="14" t="s">
        <v>34</v>
      </c>
      <c r="H22" s="10" t="s">
        <v>17</v>
      </c>
      <c r="I22" s="15">
        <f t="shared" si="9"/>
        <v>5</v>
      </c>
      <c r="J22" s="14" t="s">
        <v>57</v>
      </c>
      <c r="K22" s="14" t="s">
        <v>57</v>
      </c>
      <c r="L22" s="14" t="str">
        <f t="shared" si="11"/>
        <v>WO</v>
      </c>
      <c r="M22" s="14" t="s">
        <v>58</v>
      </c>
      <c r="N22" s="14" t="s">
        <v>57</v>
      </c>
      <c r="O22" s="14" t="s">
        <v>57</v>
      </c>
      <c r="P22" s="14" t="s">
        <v>57</v>
      </c>
      <c r="Q22" s="14" t="s">
        <v>57</v>
      </c>
      <c r="R22" s="14" t="s">
        <v>57</v>
      </c>
      <c r="S22" s="14" t="str">
        <f t="shared" si="11"/>
        <v>WO</v>
      </c>
      <c r="T22" s="14" t="s">
        <v>57</v>
      </c>
      <c r="U22" s="14" t="s">
        <v>57</v>
      </c>
      <c r="V22" s="14" t="s">
        <v>57</v>
      </c>
      <c r="W22" s="14" t="s">
        <v>57</v>
      </c>
      <c r="X22" s="14" t="s">
        <v>57</v>
      </c>
      <c r="Y22" s="14" t="s">
        <v>57</v>
      </c>
      <c r="Z22" s="14" t="str">
        <f t="shared" si="10"/>
        <v>WO</v>
      </c>
      <c r="AA22" s="14" t="s">
        <v>57</v>
      </c>
      <c r="AB22" s="14" t="s">
        <v>59</v>
      </c>
      <c r="AC22" s="14" t="s">
        <v>57</v>
      </c>
      <c r="AD22" s="14" t="s">
        <v>57</v>
      </c>
      <c r="AE22" s="14" t="s">
        <v>58</v>
      </c>
      <c r="AF22" s="14" t="s">
        <v>57</v>
      </c>
      <c r="AG22" s="14" t="str">
        <f t="shared" si="10"/>
        <v>WO</v>
      </c>
      <c r="AH22" s="14" t="s">
        <v>57</v>
      </c>
      <c r="AI22" s="14" t="s">
        <v>57</v>
      </c>
      <c r="AJ22" s="14" t="s">
        <v>57</v>
      </c>
      <c r="AK22" s="14" t="s">
        <v>57</v>
      </c>
      <c r="AL22" s="14" t="s">
        <v>57</v>
      </c>
      <c r="AM22" s="14" t="s">
        <v>57</v>
      </c>
      <c r="AN22" s="32" t="str">
        <f t="shared" si="10"/>
        <v>WO</v>
      </c>
      <c r="AO22" s="39"/>
      <c r="AR22" s="43"/>
      <c r="AS22" s="22">
        <v>15</v>
      </c>
      <c r="AT22" s="14" t="s">
        <v>34</v>
      </c>
      <c r="AU22" s="14" t="str">
        <f t="shared" si="3"/>
        <v>May</v>
      </c>
      <c r="AV22" s="10" t="s">
        <v>17</v>
      </c>
      <c r="AW22" s="22">
        <f t="shared" si="4"/>
        <v>23</v>
      </c>
      <c r="AX22" s="22">
        <f t="shared" si="5"/>
        <v>1</v>
      </c>
      <c r="AY22" s="22">
        <f t="shared" si="6"/>
        <v>2</v>
      </c>
      <c r="AZ22" s="22">
        <f t="shared" si="7"/>
        <v>5</v>
      </c>
      <c r="BA22" s="22">
        <f t="shared" si="8"/>
        <v>31</v>
      </c>
      <c r="BB22" s="22">
        <f>JanMonthlyReport7[[#This Row],[Days]]-JanMonthlyReport7[[#This Row],[Absent]]</f>
        <v>30</v>
      </c>
      <c r="BC22" s="23">
        <v>10000</v>
      </c>
      <c r="BD22" s="23">
        <f>JanMonthlyReport7[[#This Row],[Basic Salary]]/JanMonthlyReport7[[#This Row],[Days]]</f>
        <v>322.58064516129031</v>
      </c>
      <c r="BE22" s="23">
        <f>JanMonthlyReport7[[#This Row],[Per Day Salary]]*JanMonthlyReport7[[#This Row],[Absent]]</f>
        <v>322.58064516129031</v>
      </c>
      <c r="BF22" s="26">
        <f>JanMonthlyReport7[[#This Row],[Basic Salary]]-JanMonthlyReport7[[#This Row],[Deduction]]</f>
        <v>9677.4193548387102</v>
      </c>
      <c r="BG22" s="21"/>
      <c r="BH22" s="43"/>
    </row>
    <row r="23" spans="1:60" x14ac:dyDescent="0.25">
      <c r="A23"/>
      <c r="B23"/>
      <c r="E23" s="39"/>
      <c r="F23" s="24">
        <v>16</v>
      </c>
      <c r="G23" s="14" t="s">
        <v>35</v>
      </c>
      <c r="H23" s="10" t="s">
        <v>18</v>
      </c>
      <c r="I23" s="15">
        <f t="shared" si="9"/>
        <v>5</v>
      </c>
      <c r="J23" s="14" t="s">
        <v>57</v>
      </c>
      <c r="K23" s="14" t="s">
        <v>57</v>
      </c>
      <c r="L23" s="14" t="str">
        <f t="shared" si="11"/>
        <v>WO</v>
      </c>
      <c r="M23" s="14" t="s">
        <v>58</v>
      </c>
      <c r="N23" s="14" t="s">
        <v>57</v>
      </c>
      <c r="O23" s="14" t="s">
        <v>57</v>
      </c>
      <c r="P23" s="14" t="s">
        <v>57</v>
      </c>
      <c r="Q23" s="14" t="s">
        <v>57</v>
      </c>
      <c r="R23" s="14" t="s">
        <v>57</v>
      </c>
      <c r="S23" s="14" t="str">
        <f t="shared" si="11"/>
        <v>WO</v>
      </c>
      <c r="T23" s="14" t="s">
        <v>57</v>
      </c>
      <c r="U23" s="14" t="s">
        <v>57</v>
      </c>
      <c r="V23" s="14" t="s">
        <v>57</v>
      </c>
      <c r="W23" s="14" t="s">
        <v>57</v>
      </c>
      <c r="X23" s="14" t="s">
        <v>57</v>
      </c>
      <c r="Y23" s="14" t="s">
        <v>57</v>
      </c>
      <c r="Z23" s="14" t="str">
        <f t="shared" si="10"/>
        <v>WO</v>
      </c>
      <c r="AA23" s="14" t="s">
        <v>57</v>
      </c>
      <c r="AB23" s="14" t="s">
        <v>57</v>
      </c>
      <c r="AC23" s="14" t="s">
        <v>57</v>
      </c>
      <c r="AD23" s="14" t="s">
        <v>57</v>
      </c>
      <c r="AE23" s="14" t="s">
        <v>58</v>
      </c>
      <c r="AF23" s="14" t="s">
        <v>57</v>
      </c>
      <c r="AG23" s="14" t="str">
        <f t="shared" si="10"/>
        <v>WO</v>
      </c>
      <c r="AH23" s="14" t="s">
        <v>57</v>
      </c>
      <c r="AI23" s="14" t="s">
        <v>57</v>
      </c>
      <c r="AJ23" s="14" t="s">
        <v>57</v>
      </c>
      <c r="AK23" s="14" t="s">
        <v>59</v>
      </c>
      <c r="AL23" s="14" t="s">
        <v>57</v>
      </c>
      <c r="AM23" s="14" t="s">
        <v>57</v>
      </c>
      <c r="AN23" s="32" t="str">
        <f t="shared" si="10"/>
        <v>WO</v>
      </c>
      <c r="AO23" s="39"/>
      <c r="AR23" s="43"/>
      <c r="AS23" s="22">
        <v>16</v>
      </c>
      <c r="AT23" s="14" t="s">
        <v>35</v>
      </c>
      <c r="AU23" s="14" t="str">
        <f t="shared" si="3"/>
        <v>May</v>
      </c>
      <c r="AV23" s="10" t="s">
        <v>18</v>
      </c>
      <c r="AW23" s="22">
        <f t="shared" si="4"/>
        <v>23</v>
      </c>
      <c r="AX23" s="22">
        <f t="shared" si="5"/>
        <v>1</v>
      </c>
      <c r="AY23" s="22">
        <f t="shared" si="6"/>
        <v>2</v>
      </c>
      <c r="AZ23" s="22">
        <f t="shared" si="7"/>
        <v>5</v>
      </c>
      <c r="BA23" s="22">
        <f t="shared" si="8"/>
        <v>31</v>
      </c>
      <c r="BB23" s="22">
        <f>JanMonthlyReport7[[#This Row],[Days]]-JanMonthlyReport7[[#This Row],[Absent]]</f>
        <v>30</v>
      </c>
      <c r="BC23" s="23">
        <v>10000</v>
      </c>
      <c r="BD23" s="23">
        <f>JanMonthlyReport7[[#This Row],[Basic Salary]]/JanMonthlyReport7[[#This Row],[Days]]</f>
        <v>322.58064516129031</v>
      </c>
      <c r="BE23" s="23">
        <f>JanMonthlyReport7[[#This Row],[Per Day Salary]]*JanMonthlyReport7[[#This Row],[Absent]]</f>
        <v>322.58064516129031</v>
      </c>
      <c r="BF23" s="26">
        <f>JanMonthlyReport7[[#This Row],[Basic Salary]]-JanMonthlyReport7[[#This Row],[Deduction]]</f>
        <v>9677.4193548387102</v>
      </c>
      <c r="BG23" s="21"/>
      <c r="BH23" s="43"/>
    </row>
    <row r="24" spans="1:60" ht="15.75" thickBot="1" x14ac:dyDescent="0.3">
      <c r="A24"/>
      <c r="B24"/>
      <c r="E24" s="39"/>
      <c r="F24" s="25">
        <v>17</v>
      </c>
      <c r="G24" s="33" t="s">
        <v>36</v>
      </c>
      <c r="H24" s="34" t="s">
        <v>19</v>
      </c>
      <c r="I24" s="35">
        <f t="shared" si="9"/>
        <v>5</v>
      </c>
      <c r="J24" s="33" t="s">
        <v>57</v>
      </c>
      <c r="K24" s="33" t="s">
        <v>57</v>
      </c>
      <c r="L24" s="33" t="str">
        <f t="shared" si="11"/>
        <v>WO</v>
      </c>
      <c r="M24" s="33" t="s">
        <v>58</v>
      </c>
      <c r="N24" s="33" t="s">
        <v>57</v>
      </c>
      <c r="O24" s="33" t="s">
        <v>57</v>
      </c>
      <c r="P24" s="33" t="s">
        <v>57</v>
      </c>
      <c r="Q24" s="33" t="s">
        <v>57</v>
      </c>
      <c r="R24" s="33" t="s">
        <v>57</v>
      </c>
      <c r="S24" s="33" t="str">
        <f t="shared" si="11"/>
        <v>WO</v>
      </c>
      <c r="T24" s="33" t="s">
        <v>57</v>
      </c>
      <c r="U24" s="33" t="s">
        <v>57</v>
      </c>
      <c r="V24" s="33" t="s">
        <v>57</v>
      </c>
      <c r="W24" s="33" t="s">
        <v>57</v>
      </c>
      <c r="X24" s="33" t="s">
        <v>57</v>
      </c>
      <c r="Y24" s="33" t="s">
        <v>57</v>
      </c>
      <c r="Z24" s="33" t="str">
        <f t="shared" si="10"/>
        <v>WO</v>
      </c>
      <c r="AA24" s="33" t="s">
        <v>57</v>
      </c>
      <c r="AB24" s="33" t="s">
        <v>57</v>
      </c>
      <c r="AC24" s="33" t="s">
        <v>57</v>
      </c>
      <c r="AD24" s="33" t="s">
        <v>57</v>
      </c>
      <c r="AE24" s="33" t="s">
        <v>58</v>
      </c>
      <c r="AF24" s="33" t="s">
        <v>57</v>
      </c>
      <c r="AG24" s="33" t="str">
        <f t="shared" si="10"/>
        <v>WO</v>
      </c>
      <c r="AH24" s="33" t="s">
        <v>57</v>
      </c>
      <c r="AI24" s="33" t="s">
        <v>57</v>
      </c>
      <c r="AJ24" s="33" t="s">
        <v>57</v>
      </c>
      <c r="AK24" s="33" t="s">
        <v>57</v>
      </c>
      <c r="AL24" s="33" t="s">
        <v>57</v>
      </c>
      <c r="AM24" s="33" t="s">
        <v>57</v>
      </c>
      <c r="AN24" s="36" t="str">
        <f t="shared" si="10"/>
        <v>WO</v>
      </c>
      <c r="AO24" s="39"/>
      <c r="AR24" s="43"/>
      <c r="AS24" s="22">
        <v>17</v>
      </c>
      <c r="AT24" s="14" t="s">
        <v>36</v>
      </c>
      <c r="AU24" s="14" t="str">
        <f t="shared" si="3"/>
        <v>May</v>
      </c>
      <c r="AV24" s="10" t="s">
        <v>19</v>
      </c>
      <c r="AW24" s="22">
        <f t="shared" si="4"/>
        <v>24</v>
      </c>
      <c r="AX24" s="22">
        <f t="shared" si="5"/>
        <v>0</v>
      </c>
      <c r="AY24" s="22">
        <f t="shared" si="6"/>
        <v>2</v>
      </c>
      <c r="AZ24" s="22">
        <f t="shared" si="7"/>
        <v>5</v>
      </c>
      <c r="BA24" s="22">
        <f t="shared" si="8"/>
        <v>31</v>
      </c>
      <c r="BB24" s="22">
        <f>JanMonthlyReport7[[#This Row],[Days]]-JanMonthlyReport7[[#This Row],[Absent]]</f>
        <v>31</v>
      </c>
      <c r="BC24" s="23">
        <v>9000</v>
      </c>
      <c r="BD24" s="23">
        <f>JanMonthlyReport7[[#This Row],[Basic Salary]]/JanMonthlyReport7[[#This Row],[Days]]</f>
        <v>290.32258064516128</v>
      </c>
      <c r="BE24" s="23">
        <f>JanMonthlyReport7[[#This Row],[Per Day Salary]]*JanMonthlyReport7[[#This Row],[Absent]]</f>
        <v>0</v>
      </c>
      <c r="BF24" s="26">
        <f>JanMonthlyReport7[[#This Row],[Basic Salary]]-JanMonthlyReport7[[#This Row],[Deduction]]</f>
        <v>9000</v>
      </c>
      <c r="BG24" s="21"/>
      <c r="BH24" s="43"/>
    </row>
    <row r="25" spans="1:60" x14ac:dyDescent="0.25">
      <c r="A25"/>
      <c r="B25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</row>
    <row r="26" spans="1:60" x14ac:dyDescent="0.25">
      <c r="A26"/>
      <c r="B26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</row>
    <row r="27" spans="1:60" x14ac:dyDescent="0.25">
      <c r="A27"/>
      <c r="B27"/>
    </row>
    <row r="28" spans="1:60" x14ac:dyDescent="0.25">
      <c r="A28"/>
      <c r="B28"/>
    </row>
    <row r="29" spans="1:60" x14ac:dyDescent="0.25">
      <c r="A29"/>
      <c r="B29"/>
    </row>
    <row r="30" spans="1:60" x14ac:dyDescent="0.25">
      <c r="A30"/>
      <c r="B30"/>
    </row>
    <row r="31" spans="1:60" x14ac:dyDescent="0.25">
      <c r="A31"/>
      <c r="B31"/>
    </row>
    <row r="32" spans="1:60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</sheetData>
  <mergeCells count="1">
    <mergeCell ref="F6:H6"/>
  </mergeCells>
  <conditionalFormatting sqref="AQ7 L8:L24 S8:S24 Z8:Z24 AG8:AG24 AN8:AN24">
    <cfRule type="containsText" dxfId="520" priority="10" operator="containsText" text="WO">
      <formula>NOT(ISERROR(SEARCH("WO",L7)))</formula>
    </cfRule>
  </conditionalFormatting>
  <conditionalFormatting sqref="G4 I8:I24 L8:L24 S8:S24 Z8:Z24 AG8:AG24 AN8:AN24">
    <cfRule type="containsText" dxfId="519" priority="9" operator="containsText" text="WO">
      <formula>NOT(ISERROR(SEARCH("WO",G4)))</formula>
    </cfRule>
  </conditionalFormatting>
  <conditionalFormatting sqref="L8:L24 S8:S24 Z8:Z24 AG8:AG24 AN8:AN24">
    <cfRule type="containsText" dxfId="516" priority="6" operator="containsText" text="L">
      <formula>NOT(ISERROR(SEARCH("L",L8)))</formula>
    </cfRule>
    <cfRule type="containsText" dxfId="517" priority="7" operator="containsText" text="A">
      <formula>NOT(ISERROR(SEARCH("A",L8)))</formula>
    </cfRule>
    <cfRule type="containsText" dxfId="518" priority="8" operator="containsText" text="P">
      <formula>NOT(ISERROR(SEARCH("P",L8)))</formula>
    </cfRule>
  </conditionalFormatting>
  <conditionalFormatting sqref="AH8:AM24 AA8:AF24 T8:Y24 M8:R24 J8:K24">
    <cfRule type="containsText" dxfId="75" priority="5" operator="containsText" text="WO">
      <formula>NOT(ISERROR(SEARCH("WO",J8)))</formula>
    </cfRule>
  </conditionalFormatting>
  <conditionalFormatting sqref="AH8:AM24 AA8:AF24 T8:Y24 M8:R24 J8:K24">
    <cfRule type="containsText" dxfId="74" priority="4" operator="containsText" text="WO">
      <formula>NOT(ISERROR(SEARCH("WO",J8)))</formula>
    </cfRule>
  </conditionalFormatting>
  <conditionalFormatting sqref="AH8:AM24 AA8:AF24 T8:Y24 M8:R24 J8:K24">
    <cfRule type="containsText" dxfId="73" priority="1" operator="containsText" text="L">
      <formula>NOT(ISERROR(SEARCH("L",J8)))</formula>
    </cfRule>
    <cfRule type="containsText" dxfId="72" priority="2" operator="containsText" text="A">
      <formula>NOT(ISERROR(SEARCH("A",J8)))</formula>
    </cfRule>
    <cfRule type="containsText" dxfId="71" priority="3" operator="containsText" text="P">
      <formula>NOT(ISERROR(SEARCH("P",J8)))</formula>
    </cfRule>
  </conditionalFormatting>
  <dataValidations count="1">
    <dataValidation type="list" allowBlank="1" showInputMessage="1" showErrorMessage="1" sqref="T8:Y24 M8:R24 J8:K24 AA8:AF24 AH8:AM24" xr:uid="{99E9F9B6-DE04-43B4-B742-EAA2DC01B7A4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028FA9-27EA-42D3-8D03-5D307EBC5A98}">
          <x14:formula1>
            <xm:f>Rough!$A$1:$A$12</xm:f>
          </x14:formula1>
          <xm:sqref>G4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268AC2AA-C052-4A28-9166-763CB95BAD1D}">
          <x14:colorSeries theme="7"/>
          <x14:colorNegative rgb="FFFF0000"/>
          <x14:colorAxis rgb="FF000000"/>
          <x14:colorMarkers rgb="FFD00000"/>
          <x14:colorFirst rgb="FFD00000"/>
          <x14:colorLast rgb="FFD00000"/>
          <x14:colorHigh rgb="FF2BF595"/>
          <x14:colorLow rgb="FFD00000"/>
          <x14:sparklines>
            <x14:sparkline>
              <xm:f>May!AW8:AY8</xm:f>
              <xm:sqref>BG8</xm:sqref>
            </x14:sparkline>
            <x14:sparkline>
              <xm:f>May!AW9:AY9</xm:f>
              <xm:sqref>BG9</xm:sqref>
            </x14:sparkline>
            <x14:sparkline>
              <xm:f>May!AW10:AY10</xm:f>
              <xm:sqref>BG10</xm:sqref>
            </x14:sparkline>
            <x14:sparkline>
              <xm:f>May!AW11:AY11</xm:f>
              <xm:sqref>BG11</xm:sqref>
            </x14:sparkline>
            <x14:sparkline>
              <xm:f>May!AW12:AY12</xm:f>
              <xm:sqref>BG12</xm:sqref>
            </x14:sparkline>
            <x14:sparkline>
              <xm:f>May!AW13:AY13</xm:f>
              <xm:sqref>BG13</xm:sqref>
            </x14:sparkline>
            <x14:sparkline>
              <xm:f>May!AW14:AY14</xm:f>
              <xm:sqref>BG14</xm:sqref>
            </x14:sparkline>
            <x14:sparkline>
              <xm:f>May!AW15:AY15</xm:f>
              <xm:sqref>BG15</xm:sqref>
            </x14:sparkline>
            <x14:sparkline>
              <xm:f>May!AW16:AY16</xm:f>
              <xm:sqref>BG16</xm:sqref>
            </x14:sparkline>
            <x14:sparkline>
              <xm:f>May!AW17:AY17</xm:f>
              <xm:sqref>BG17</xm:sqref>
            </x14:sparkline>
            <x14:sparkline>
              <xm:f>May!AW18:AY18</xm:f>
              <xm:sqref>BG18</xm:sqref>
            </x14:sparkline>
            <x14:sparkline>
              <xm:f>May!AW19:AY19</xm:f>
              <xm:sqref>BG19</xm:sqref>
            </x14:sparkline>
            <x14:sparkline>
              <xm:f>May!AW20:AY20</xm:f>
              <xm:sqref>BG20</xm:sqref>
            </x14:sparkline>
            <x14:sparkline>
              <xm:f>May!AW21:AY21</xm:f>
              <xm:sqref>BG21</xm:sqref>
            </x14:sparkline>
            <x14:sparkline>
              <xm:f>May!AW22:AY22</xm:f>
              <xm:sqref>BG22</xm:sqref>
            </x14:sparkline>
            <x14:sparkline>
              <xm:f>May!AW23:AY23</xm:f>
              <xm:sqref>BG23</xm:sqref>
            </x14:sparkline>
            <x14:sparkline>
              <xm:f>May!AW24:AY24</xm:f>
              <xm:sqref>BG24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1212B-3271-40C3-9F9F-B2051708971F}">
  <dimension ref="A1:BH36"/>
  <sheetViews>
    <sheetView topLeftCell="AQ1" zoomScale="80" zoomScaleNormal="80" workbookViewId="0">
      <selection activeCell="BG8" sqref="BG8:BG24"/>
    </sheetView>
  </sheetViews>
  <sheetFormatPr defaultRowHeight="15" x14ac:dyDescent="0.25"/>
  <cols>
    <col min="1" max="5" width="9.140625" style="37"/>
    <col min="6" max="6" width="8.28515625" style="37" bestFit="1" customWidth="1"/>
    <col min="7" max="7" width="14.7109375" style="37" bestFit="1" customWidth="1"/>
    <col min="8" max="8" width="24" style="37" bestFit="1" customWidth="1"/>
    <col min="9" max="9" width="9.85546875" style="37" bestFit="1" customWidth="1"/>
    <col min="10" max="10" width="8.42578125" style="37" bestFit="1" customWidth="1"/>
    <col min="11" max="11" width="6.42578125" style="37" customWidth="1"/>
    <col min="12" max="12" width="5.85546875" style="37" bestFit="1" customWidth="1"/>
    <col min="13" max="13" width="6.42578125" style="37" bestFit="1" customWidth="1"/>
    <col min="14" max="14" width="6.5703125" style="37" bestFit="1" customWidth="1"/>
    <col min="15" max="15" width="6.140625" style="37" bestFit="1" customWidth="1"/>
    <col min="16" max="16" width="6.85546875" style="37" bestFit="1" customWidth="1"/>
    <col min="17" max="17" width="6.140625" style="37" bestFit="1" customWidth="1"/>
    <col min="18" max="18" width="4.7109375" style="37" bestFit="1" customWidth="1"/>
    <col min="19" max="19" width="5.85546875" style="37" bestFit="1" customWidth="1"/>
    <col min="20" max="20" width="6.42578125" style="37" bestFit="1" customWidth="1"/>
    <col min="21" max="21" width="6.5703125" style="37" bestFit="1" customWidth="1"/>
    <col min="22" max="22" width="6.140625" style="37" bestFit="1" customWidth="1"/>
    <col min="23" max="23" width="6.85546875" style="37" bestFit="1" customWidth="1"/>
    <col min="24" max="24" width="6.140625" style="37" bestFit="1" customWidth="1"/>
    <col min="25" max="25" width="4.7109375" style="37" bestFit="1" customWidth="1"/>
    <col min="26" max="26" width="5.85546875" style="37" bestFit="1" customWidth="1"/>
    <col min="27" max="27" width="6.42578125" style="37" bestFit="1" customWidth="1"/>
    <col min="28" max="28" width="6.5703125" style="37" bestFit="1" customWidth="1"/>
    <col min="29" max="29" width="6.140625" style="37" bestFit="1" customWidth="1"/>
    <col min="30" max="30" width="6.85546875" style="37" bestFit="1" customWidth="1"/>
    <col min="31" max="31" width="6.140625" style="37" bestFit="1" customWidth="1"/>
    <col min="32" max="32" width="4.7109375" style="37" bestFit="1" customWidth="1"/>
    <col min="33" max="33" width="5.85546875" style="37" bestFit="1" customWidth="1"/>
    <col min="34" max="34" width="6.42578125" style="37" bestFit="1" customWidth="1"/>
    <col min="35" max="35" width="6.5703125" style="37" bestFit="1" customWidth="1"/>
    <col min="36" max="36" width="6.140625" style="37" bestFit="1" customWidth="1"/>
    <col min="37" max="37" width="6.85546875" style="37" bestFit="1" customWidth="1"/>
    <col min="38" max="38" width="6.140625" style="37" bestFit="1" customWidth="1"/>
    <col min="39" max="39" width="4.5703125" style="37" bestFit="1" customWidth="1"/>
    <col min="40" max="40" width="5.7109375" style="37" bestFit="1" customWidth="1"/>
    <col min="41" max="45" width="9.140625" style="37"/>
    <col min="46" max="47" width="15.140625" style="37" customWidth="1"/>
    <col min="48" max="48" width="21.5703125" style="37" bestFit="1" customWidth="1"/>
    <col min="49" max="49" width="9.85546875" style="37" customWidth="1"/>
    <col min="50" max="50" width="9.28515625" style="37" customWidth="1"/>
    <col min="51" max="51" width="8.42578125" style="37" customWidth="1"/>
    <col min="52" max="52" width="11.85546875" style="37" customWidth="1"/>
    <col min="53" max="53" width="7.7109375" style="37" customWidth="1"/>
    <col min="54" max="54" width="12" style="37" customWidth="1"/>
    <col min="55" max="55" width="14" style="37" customWidth="1"/>
    <col min="56" max="56" width="16.28515625" style="37" customWidth="1"/>
    <col min="57" max="57" width="12.5703125" style="37" bestFit="1" customWidth="1"/>
    <col min="58" max="58" width="13.7109375" style="37" customWidth="1"/>
    <col min="59" max="59" width="16.7109375" style="37" customWidth="1"/>
    <col min="60" max="16384" width="9.140625" style="37"/>
  </cols>
  <sheetData>
    <row r="1" spans="1:6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6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60" x14ac:dyDescent="0.25">
      <c r="A3"/>
      <c r="B3"/>
    </row>
    <row r="4" spans="1:60" x14ac:dyDescent="0.25">
      <c r="A4"/>
      <c r="B4"/>
      <c r="E4" s="39"/>
      <c r="F4" s="39" t="s">
        <v>41</v>
      </c>
      <c r="G4" s="40">
        <v>46174</v>
      </c>
      <c r="H4" s="41">
        <f>DATEDIF($G$4,$K$4,"D")+1</f>
        <v>30</v>
      </c>
      <c r="I4" s="39" t="str">
        <f>TEXT(G4,"MMMM")</f>
        <v>June</v>
      </c>
      <c r="J4" s="39" t="s">
        <v>42</v>
      </c>
      <c r="K4" s="40">
        <f>EOMONTH(G4,0)</f>
        <v>46203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60" ht="15.75" thickBot="1" x14ac:dyDescent="0.3">
      <c r="A5"/>
      <c r="B5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</row>
    <row r="6" spans="1:60" x14ac:dyDescent="0.25">
      <c r="A6"/>
      <c r="B6"/>
      <c r="E6" s="39"/>
      <c r="F6" s="46" t="s">
        <v>44</v>
      </c>
      <c r="G6" s="47"/>
      <c r="H6" s="48"/>
      <c r="I6" s="27" t="s">
        <v>43</v>
      </c>
      <c r="J6" s="28" t="str">
        <f>TEXT(J7,"DDD")</f>
        <v>Mon</v>
      </c>
      <c r="K6" s="28" t="str">
        <f t="shared" ref="K6:AN6" si="0">TEXT(K7,"DDD")</f>
        <v>Tue</v>
      </c>
      <c r="L6" s="28" t="str">
        <f t="shared" si="0"/>
        <v>Wed</v>
      </c>
      <c r="M6" s="28" t="str">
        <f t="shared" si="0"/>
        <v>Thu</v>
      </c>
      <c r="N6" s="28" t="str">
        <f t="shared" si="0"/>
        <v>Fri</v>
      </c>
      <c r="O6" s="28" t="str">
        <f t="shared" si="0"/>
        <v>Sat</v>
      </c>
      <c r="P6" s="28" t="str">
        <f t="shared" si="0"/>
        <v>Sun</v>
      </c>
      <c r="Q6" s="28" t="str">
        <f t="shared" si="0"/>
        <v>Mon</v>
      </c>
      <c r="R6" s="28" t="str">
        <f t="shared" si="0"/>
        <v>Tue</v>
      </c>
      <c r="S6" s="28" t="str">
        <f t="shared" si="0"/>
        <v>Wed</v>
      </c>
      <c r="T6" s="28" t="str">
        <f t="shared" si="0"/>
        <v>Thu</v>
      </c>
      <c r="U6" s="28" t="str">
        <f t="shared" si="0"/>
        <v>Fri</v>
      </c>
      <c r="V6" s="28" t="str">
        <f t="shared" si="0"/>
        <v>Sat</v>
      </c>
      <c r="W6" s="28" t="str">
        <f t="shared" si="0"/>
        <v>Sun</v>
      </c>
      <c r="X6" s="28" t="str">
        <f t="shared" si="0"/>
        <v>Mon</v>
      </c>
      <c r="Y6" s="28" t="str">
        <f t="shared" si="0"/>
        <v>Tue</v>
      </c>
      <c r="Z6" s="28" t="str">
        <f t="shared" si="0"/>
        <v>Wed</v>
      </c>
      <c r="AA6" s="28" t="str">
        <f t="shared" si="0"/>
        <v>Thu</v>
      </c>
      <c r="AB6" s="28" t="str">
        <f t="shared" si="0"/>
        <v>Fri</v>
      </c>
      <c r="AC6" s="28" t="str">
        <f t="shared" si="0"/>
        <v>Sat</v>
      </c>
      <c r="AD6" s="28" t="str">
        <f t="shared" si="0"/>
        <v>Sun</v>
      </c>
      <c r="AE6" s="28" t="str">
        <f t="shared" si="0"/>
        <v>Mon</v>
      </c>
      <c r="AF6" s="28" t="str">
        <f t="shared" si="0"/>
        <v>Tue</v>
      </c>
      <c r="AG6" s="28" t="str">
        <f t="shared" si="0"/>
        <v>Wed</v>
      </c>
      <c r="AH6" s="28" t="str">
        <f t="shared" si="0"/>
        <v>Thu</v>
      </c>
      <c r="AI6" s="28" t="str">
        <f t="shared" si="0"/>
        <v>Fri</v>
      </c>
      <c r="AJ6" s="28" t="str">
        <f t="shared" si="0"/>
        <v>Sat</v>
      </c>
      <c r="AK6" s="28" t="str">
        <f t="shared" si="0"/>
        <v>Sun</v>
      </c>
      <c r="AL6" s="28" t="str">
        <f t="shared" si="0"/>
        <v>Mon</v>
      </c>
      <c r="AM6" s="28" t="str">
        <f t="shared" si="0"/>
        <v>Tue</v>
      </c>
      <c r="AN6" s="29" t="str">
        <f t="shared" si="0"/>
        <v/>
      </c>
      <c r="AO6" s="42" t="str">
        <f>IF(AN7 &lt; $K$4,AN7+1,"")</f>
        <v/>
      </c>
      <c r="AP6" s="38"/>
      <c r="AQ6" s="38"/>
      <c r="AR6" s="44"/>
      <c r="AS6" s="44"/>
      <c r="AT6" s="44"/>
      <c r="AU6" s="44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</row>
    <row r="7" spans="1:60" ht="15.75" thickBot="1" x14ac:dyDescent="0.3">
      <c r="A7"/>
      <c r="B7"/>
      <c r="E7" s="39"/>
      <c r="F7" s="30" t="s">
        <v>37</v>
      </c>
      <c r="G7" s="12" t="s">
        <v>38</v>
      </c>
      <c r="H7" s="13" t="s">
        <v>39</v>
      </c>
      <c r="I7" s="16" t="s">
        <v>40</v>
      </c>
      <c r="J7" s="17">
        <f>G4</f>
        <v>46174</v>
      </c>
      <c r="K7" s="17">
        <f t="shared" ref="K7:AN7" si="1">IF(J7 &lt; $K$4,J7+1,"")</f>
        <v>46175</v>
      </c>
      <c r="L7" s="17">
        <f t="shared" si="1"/>
        <v>46176</v>
      </c>
      <c r="M7" s="17">
        <f t="shared" si="1"/>
        <v>46177</v>
      </c>
      <c r="N7" s="17">
        <f t="shared" si="1"/>
        <v>46178</v>
      </c>
      <c r="O7" s="17">
        <f t="shared" si="1"/>
        <v>46179</v>
      </c>
      <c r="P7" s="17">
        <f t="shared" si="1"/>
        <v>46180</v>
      </c>
      <c r="Q7" s="17">
        <f t="shared" si="1"/>
        <v>46181</v>
      </c>
      <c r="R7" s="17">
        <f t="shared" si="1"/>
        <v>46182</v>
      </c>
      <c r="S7" s="17">
        <f t="shared" si="1"/>
        <v>46183</v>
      </c>
      <c r="T7" s="17">
        <f t="shared" si="1"/>
        <v>46184</v>
      </c>
      <c r="U7" s="17">
        <f t="shared" si="1"/>
        <v>46185</v>
      </c>
      <c r="V7" s="17">
        <f t="shared" si="1"/>
        <v>46186</v>
      </c>
      <c r="W7" s="17">
        <f t="shared" si="1"/>
        <v>46187</v>
      </c>
      <c r="X7" s="17">
        <f t="shared" si="1"/>
        <v>46188</v>
      </c>
      <c r="Y7" s="17">
        <f t="shared" si="1"/>
        <v>46189</v>
      </c>
      <c r="Z7" s="17">
        <f t="shared" si="1"/>
        <v>46190</v>
      </c>
      <c r="AA7" s="17">
        <f t="shared" si="1"/>
        <v>46191</v>
      </c>
      <c r="AB7" s="17">
        <f t="shared" si="1"/>
        <v>46192</v>
      </c>
      <c r="AC7" s="17">
        <f t="shared" si="1"/>
        <v>46193</v>
      </c>
      <c r="AD7" s="17">
        <f t="shared" si="1"/>
        <v>46194</v>
      </c>
      <c r="AE7" s="17">
        <f t="shared" si="1"/>
        <v>46195</v>
      </c>
      <c r="AF7" s="17">
        <f t="shared" si="1"/>
        <v>46196</v>
      </c>
      <c r="AG7" s="17">
        <f t="shared" si="1"/>
        <v>46197</v>
      </c>
      <c r="AH7" s="17">
        <f t="shared" si="1"/>
        <v>46198</v>
      </c>
      <c r="AI7" s="17">
        <f t="shared" si="1"/>
        <v>46199</v>
      </c>
      <c r="AJ7" s="17">
        <f t="shared" si="1"/>
        <v>46200</v>
      </c>
      <c r="AK7" s="17">
        <f t="shared" si="1"/>
        <v>46201</v>
      </c>
      <c r="AL7" s="17">
        <f t="shared" si="1"/>
        <v>46202</v>
      </c>
      <c r="AM7" s="17">
        <f t="shared" si="1"/>
        <v>46203</v>
      </c>
      <c r="AN7" s="31" t="str">
        <f t="shared" si="1"/>
        <v/>
      </c>
      <c r="AO7" s="39"/>
      <c r="AR7" s="43"/>
      <c r="AS7" s="18" t="s">
        <v>37</v>
      </c>
      <c r="AT7" s="18" t="s">
        <v>38</v>
      </c>
      <c r="AU7" s="18" t="s">
        <v>56</v>
      </c>
      <c r="AV7" s="19" t="s">
        <v>39</v>
      </c>
      <c r="AW7" s="18" t="s">
        <v>45</v>
      </c>
      <c r="AX7" s="18" t="s">
        <v>46</v>
      </c>
      <c r="AY7" s="18" t="s">
        <v>47</v>
      </c>
      <c r="AZ7" s="18" t="s">
        <v>48</v>
      </c>
      <c r="BA7" s="18" t="s">
        <v>49</v>
      </c>
      <c r="BB7" s="18" t="s">
        <v>50</v>
      </c>
      <c r="BC7" s="18" t="s">
        <v>51</v>
      </c>
      <c r="BD7" s="18" t="s">
        <v>52</v>
      </c>
      <c r="BE7" s="18" t="s">
        <v>53</v>
      </c>
      <c r="BF7" s="20" t="s">
        <v>54</v>
      </c>
      <c r="BG7" s="18" t="s">
        <v>55</v>
      </c>
      <c r="BH7" s="43"/>
    </row>
    <row r="8" spans="1:60" x14ac:dyDescent="0.25">
      <c r="A8"/>
      <c r="B8"/>
      <c r="E8" s="39"/>
      <c r="F8" s="24">
        <v>1</v>
      </c>
      <c r="G8" s="14" t="s">
        <v>20</v>
      </c>
      <c r="H8" s="10" t="s">
        <v>3</v>
      </c>
      <c r="I8" s="15">
        <f>COUNTIF($J$6:$AN$6,"sun")</f>
        <v>4</v>
      </c>
      <c r="J8" s="14" t="s">
        <v>57</v>
      </c>
      <c r="K8" s="14" t="s">
        <v>57</v>
      </c>
      <c r="L8" s="14" t="s">
        <v>57</v>
      </c>
      <c r="M8" s="14" t="s">
        <v>57</v>
      </c>
      <c r="N8" s="14" t="s">
        <v>57</v>
      </c>
      <c r="O8" s="14" t="s">
        <v>57</v>
      </c>
      <c r="P8" s="14" t="str">
        <f t="shared" ref="K8:AN16" si="2">IF(P$6 = "sun","WO","")</f>
        <v>WO</v>
      </c>
      <c r="Q8" s="14" t="s">
        <v>57</v>
      </c>
      <c r="R8" s="14" t="s">
        <v>57</v>
      </c>
      <c r="S8" s="14" t="s">
        <v>58</v>
      </c>
      <c r="T8" s="14" t="s">
        <v>58</v>
      </c>
      <c r="U8" s="14" t="s">
        <v>57</v>
      </c>
      <c r="V8" s="14" t="s">
        <v>57</v>
      </c>
      <c r="W8" s="14" t="str">
        <f t="shared" si="2"/>
        <v>WO</v>
      </c>
      <c r="X8" s="14" t="s">
        <v>57</v>
      </c>
      <c r="Y8" s="14" t="s">
        <v>57</v>
      </c>
      <c r="Z8" s="14" t="s">
        <v>57</v>
      </c>
      <c r="AA8" s="14" t="s">
        <v>57</v>
      </c>
      <c r="AB8" s="14" t="s">
        <v>57</v>
      </c>
      <c r="AC8" s="14" t="s">
        <v>57</v>
      </c>
      <c r="AD8" s="14" t="str">
        <f t="shared" si="2"/>
        <v>WO</v>
      </c>
      <c r="AE8" s="14" t="s">
        <v>57</v>
      </c>
      <c r="AF8" s="14" t="s">
        <v>57</v>
      </c>
      <c r="AG8" s="14" t="s">
        <v>57</v>
      </c>
      <c r="AH8" s="14" t="s">
        <v>57</v>
      </c>
      <c r="AI8" s="14" t="s">
        <v>57</v>
      </c>
      <c r="AJ8" s="14" t="s">
        <v>57</v>
      </c>
      <c r="AK8" s="14" t="str">
        <f t="shared" si="2"/>
        <v>WO</v>
      </c>
      <c r="AL8" s="14" t="s">
        <v>57</v>
      </c>
      <c r="AM8" s="14" t="s">
        <v>57</v>
      </c>
      <c r="AN8" s="32" t="str">
        <f t="shared" si="2"/>
        <v/>
      </c>
      <c r="AO8" s="39"/>
      <c r="AR8" s="43"/>
      <c r="AS8" s="22">
        <v>1</v>
      </c>
      <c r="AT8" s="14" t="s">
        <v>20</v>
      </c>
      <c r="AU8" s="14" t="str">
        <f t="shared" ref="AU8:AU24" si="3">$I$4</f>
        <v>June</v>
      </c>
      <c r="AV8" s="10" t="s">
        <v>3</v>
      </c>
      <c r="AW8" s="22">
        <f t="shared" ref="AW8:AW24" si="4">COUNTIF($J8:$AN8,"P")</f>
        <v>24</v>
      </c>
      <c r="AX8" s="22">
        <f t="shared" ref="AX8:AX24" si="5">COUNTIF($J8:$AN8,"A")</f>
        <v>0</v>
      </c>
      <c r="AY8" s="22">
        <f t="shared" ref="AY8:AY24" si="6">COUNTIF($J8:$AN8,"L")</f>
        <v>2</v>
      </c>
      <c r="AZ8" s="22">
        <f t="shared" ref="AZ8:AZ24" si="7">$I$8</f>
        <v>4</v>
      </c>
      <c r="BA8" s="22">
        <f t="shared" ref="BA8:BA24" si="8">$H$4</f>
        <v>30</v>
      </c>
      <c r="BB8" s="22">
        <f>JanMonthlyReport8[[#This Row],[Days]]-JanMonthlyReport8[[#This Row],[Absent]]</f>
        <v>30</v>
      </c>
      <c r="BC8" s="23">
        <v>100000</v>
      </c>
      <c r="BD8" s="23">
        <f>JanMonthlyReport8[[#This Row],[Basic Salary]]/JanMonthlyReport8[[#This Row],[Days]]</f>
        <v>3333.3333333333335</v>
      </c>
      <c r="BE8" s="23">
        <f>JanMonthlyReport8[[#This Row],[Per Day Salary]]*JanMonthlyReport8[[#This Row],[Absent]]</f>
        <v>0</v>
      </c>
      <c r="BF8" s="26">
        <f>JanMonthlyReport8[[#This Row],[Basic Salary]]-JanMonthlyReport8[[#This Row],[Deduction]]</f>
        <v>100000</v>
      </c>
      <c r="BG8" s="21"/>
      <c r="BH8" s="43"/>
    </row>
    <row r="9" spans="1:60" x14ac:dyDescent="0.25">
      <c r="A9"/>
      <c r="B9"/>
      <c r="E9" s="39"/>
      <c r="F9" s="24">
        <v>2</v>
      </c>
      <c r="G9" s="14" t="s">
        <v>21</v>
      </c>
      <c r="H9" s="10" t="s">
        <v>4</v>
      </c>
      <c r="I9" s="15">
        <f t="shared" ref="I9:I24" si="9">COUNTIF($J$6:$AN$6,"sun")</f>
        <v>4</v>
      </c>
      <c r="J9" s="14" t="s">
        <v>59</v>
      </c>
      <c r="K9" s="14" t="s">
        <v>57</v>
      </c>
      <c r="L9" s="14" t="s">
        <v>57</v>
      </c>
      <c r="M9" s="14" t="s">
        <v>57</v>
      </c>
      <c r="N9" s="14" t="s">
        <v>57</v>
      </c>
      <c r="O9" s="14" t="s">
        <v>57</v>
      </c>
      <c r="P9" s="14" t="str">
        <f t="shared" si="2"/>
        <v>WO</v>
      </c>
      <c r="Q9" s="14" t="s">
        <v>57</v>
      </c>
      <c r="R9" s="14" t="s">
        <v>57</v>
      </c>
      <c r="S9" s="14" t="s">
        <v>58</v>
      </c>
      <c r="T9" s="14" t="s">
        <v>58</v>
      </c>
      <c r="U9" s="14" t="s">
        <v>57</v>
      </c>
      <c r="V9" s="14" t="s">
        <v>57</v>
      </c>
      <c r="W9" s="14" t="str">
        <f t="shared" si="2"/>
        <v>WO</v>
      </c>
      <c r="X9" s="14" t="s">
        <v>57</v>
      </c>
      <c r="Y9" s="14" t="s">
        <v>57</v>
      </c>
      <c r="Z9" s="14" t="s">
        <v>57</v>
      </c>
      <c r="AA9" s="14" t="s">
        <v>57</v>
      </c>
      <c r="AB9" s="14" t="s">
        <v>57</v>
      </c>
      <c r="AC9" s="14" t="s">
        <v>57</v>
      </c>
      <c r="AD9" s="14" t="str">
        <f t="shared" si="2"/>
        <v>WO</v>
      </c>
      <c r="AE9" s="14" t="s">
        <v>57</v>
      </c>
      <c r="AF9" s="14" t="s">
        <v>57</v>
      </c>
      <c r="AG9" s="14" t="s">
        <v>57</v>
      </c>
      <c r="AH9" s="14" t="s">
        <v>57</v>
      </c>
      <c r="AI9" s="14" t="s">
        <v>57</v>
      </c>
      <c r="AJ9" s="14" t="s">
        <v>57</v>
      </c>
      <c r="AK9" s="14" t="str">
        <f t="shared" si="2"/>
        <v>WO</v>
      </c>
      <c r="AL9" s="14" t="s">
        <v>57</v>
      </c>
      <c r="AM9" s="14" t="s">
        <v>57</v>
      </c>
      <c r="AN9" s="32" t="str">
        <f t="shared" si="2"/>
        <v/>
      </c>
      <c r="AO9" s="39"/>
      <c r="AR9" s="43"/>
      <c r="AS9" s="22">
        <v>2</v>
      </c>
      <c r="AT9" s="14" t="s">
        <v>21</v>
      </c>
      <c r="AU9" s="14" t="str">
        <f t="shared" si="3"/>
        <v>June</v>
      </c>
      <c r="AV9" s="10" t="s">
        <v>4</v>
      </c>
      <c r="AW9" s="22">
        <f t="shared" si="4"/>
        <v>23</v>
      </c>
      <c r="AX9" s="22">
        <f t="shared" si="5"/>
        <v>1</v>
      </c>
      <c r="AY9" s="22">
        <f t="shared" si="6"/>
        <v>2</v>
      </c>
      <c r="AZ9" s="22">
        <f t="shared" si="7"/>
        <v>4</v>
      </c>
      <c r="BA9" s="22">
        <f t="shared" si="8"/>
        <v>30</v>
      </c>
      <c r="BB9" s="22">
        <f>JanMonthlyReport8[[#This Row],[Days]]-JanMonthlyReport8[[#This Row],[Absent]]</f>
        <v>29</v>
      </c>
      <c r="BC9" s="23">
        <v>70000</v>
      </c>
      <c r="BD9" s="23">
        <f>JanMonthlyReport8[[#This Row],[Basic Salary]]/JanMonthlyReport8[[#This Row],[Days]]</f>
        <v>2333.3333333333335</v>
      </c>
      <c r="BE9" s="23">
        <f>JanMonthlyReport8[[#This Row],[Per Day Salary]]*JanMonthlyReport8[[#This Row],[Absent]]</f>
        <v>2333.3333333333335</v>
      </c>
      <c r="BF9" s="26">
        <f>JanMonthlyReport8[[#This Row],[Basic Salary]]-JanMonthlyReport8[[#This Row],[Deduction]]</f>
        <v>67666.666666666672</v>
      </c>
      <c r="BG9" s="21"/>
      <c r="BH9" s="43"/>
    </row>
    <row r="10" spans="1:60" x14ac:dyDescent="0.25">
      <c r="A10"/>
      <c r="B10"/>
      <c r="E10" s="39"/>
      <c r="F10" s="24">
        <v>3</v>
      </c>
      <c r="G10" s="14" t="s">
        <v>22</v>
      </c>
      <c r="H10" s="10" t="s">
        <v>5</v>
      </c>
      <c r="I10" s="15">
        <f t="shared" si="9"/>
        <v>4</v>
      </c>
      <c r="J10" s="14" t="s">
        <v>57</v>
      </c>
      <c r="K10" s="14" t="s">
        <v>57</v>
      </c>
      <c r="L10" s="14" t="s">
        <v>57</v>
      </c>
      <c r="M10" s="14" t="s">
        <v>59</v>
      </c>
      <c r="N10" s="14" t="s">
        <v>57</v>
      </c>
      <c r="O10" s="14" t="s">
        <v>57</v>
      </c>
      <c r="P10" s="14" t="str">
        <f t="shared" si="2"/>
        <v>WO</v>
      </c>
      <c r="Q10" s="14" t="s">
        <v>57</v>
      </c>
      <c r="R10" s="14" t="s">
        <v>57</v>
      </c>
      <c r="S10" s="14" t="s">
        <v>58</v>
      </c>
      <c r="T10" s="14" t="s">
        <v>58</v>
      </c>
      <c r="U10" s="14" t="s">
        <v>57</v>
      </c>
      <c r="V10" s="14" t="s">
        <v>57</v>
      </c>
      <c r="W10" s="14" t="str">
        <f t="shared" si="2"/>
        <v>WO</v>
      </c>
      <c r="X10" s="14" t="s">
        <v>57</v>
      </c>
      <c r="Y10" s="14" t="s">
        <v>57</v>
      </c>
      <c r="Z10" s="14" t="s">
        <v>57</v>
      </c>
      <c r="AA10" s="14" t="s">
        <v>57</v>
      </c>
      <c r="AB10" s="14" t="s">
        <v>57</v>
      </c>
      <c r="AC10" s="14" t="s">
        <v>57</v>
      </c>
      <c r="AD10" s="14" t="str">
        <f t="shared" si="2"/>
        <v>WO</v>
      </c>
      <c r="AE10" s="14" t="s">
        <v>57</v>
      </c>
      <c r="AF10" s="14" t="s">
        <v>57</v>
      </c>
      <c r="AG10" s="14" t="s">
        <v>57</v>
      </c>
      <c r="AH10" s="14" t="s">
        <v>57</v>
      </c>
      <c r="AI10" s="14" t="s">
        <v>57</v>
      </c>
      <c r="AJ10" s="14" t="s">
        <v>57</v>
      </c>
      <c r="AK10" s="14" t="str">
        <f t="shared" si="2"/>
        <v>WO</v>
      </c>
      <c r="AL10" s="14" t="s">
        <v>57</v>
      </c>
      <c r="AM10" s="14" t="s">
        <v>57</v>
      </c>
      <c r="AN10" s="32" t="str">
        <f t="shared" si="2"/>
        <v/>
      </c>
      <c r="AO10" s="39"/>
      <c r="AR10" s="43"/>
      <c r="AS10" s="22">
        <v>3</v>
      </c>
      <c r="AT10" s="14" t="s">
        <v>22</v>
      </c>
      <c r="AU10" s="14" t="str">
        <f t="shared" si="3"/>
        <v>June</v>
      </c>
      <c r="AV10" s="10" t="s">
        <v>5</v>
      </c>
      <c r="AW10" s="22">
        <f t="shared" si="4"/>
        <v>23</v>
      </c>
      <c r="AX10" s="22">
        <f t="shared" si="5"/>
        <v>1</v>
      </c>
      <c r="AY10" s="22">
        <f t="shared" si="6"/>
        <v>2</v>
      </c>
      <c r="AZ10" s="22">
        <f t="shared" si="7"/>
        <v>4</v>
      </c>
      <c r="BA10" s="22">
        <f t="shared" si="8"/>
        <v>30</v>
      </c>
      <c r="BB10" s="22">
        <f>JanMonthlyReport8[[#This Row],[Days]]-JanMonthlyReport8[[#This Row],[Absent]]</f>
        <v>29</v>
      </c>
      <c r="BC10" s="23">
        <v>80000</v>
      </c>
      <c r="BD10" s="23">
        <f>JanMonthlyReport8[[#This Row],[Basic Salary]]/JanMonthlyReport8[[#This Row],[Days]]</f>
        <v>2666.6666666666665</v>
      </c>
      <c r="BE10" s="23">
        <f>JanMonthlyReport8[[#This Row],[Per Day Salary]]*JanMonthlyReport8[[#This Row],[Absent]]</f>
        <v>2666.6666666666665</v>
      </c>
      <c r="BF10" s="26">
        <f>JanMonthlyReport8[[#This Row],[Basic Salary]]-JanMonthlyReport8[[#This Row],[Deduction]]</f>
        <v>77333.333333333328</v>
      </c>
      <c r="BG10" s="21"/>
      <c r="BH10" s="43"/>
    </row>
    <row r="11" spans="1:60" x14ac:dyDescent="0.25">
      <c r="A11"/>
      <c r="B11"/>
      <c r="E11" s="39"/>
      <c r="F11" s="24">
        <v>4</v>
      </c>
      <c r="G11" s="14" t="s">
        <v>23</v>
      </c>
      <c r="H11" s="10" t="s">
        <v>6</v>
      </c>
      <c r="I11" s="15">
        <f t="shared" si="9"/>
        <v>4</v>
      </c>
      <c r="J11" s="14" t="s">
        <v>57</v>
      </c>
      <c r="K11" s="14" t="s">
        <v>57</v>
      </c>
      <c r="L11" s="14" t="s">
        <v>57</v>
      </c>
      <c r="M11" s="14" t="s">
        <v>57</v>
      </c>
      <c r="N11" s="14" t="s">
        <v>57</v>
      </c>
      <c r="O11" s="14" t="s">
        <v>57</v>
      </c>
      <c r="P11" s="14" t="str">
        <f t="shared" si="2"/>
        <v>WO</v>
      </c>
      <c r="Q11" s="14" t="s">
        <v>57</v>
      </c>
      <c r="R11" s="14" t="s">
        <v>57</v>
      </c>
      <c r="S11" s="14" t="s">
        <v>58</v>
      </c>
      <c r="T11" s="14" t="s">
        <v>58</v>
      </c>
      <c r="U11" s="14" t="s">
        <v>57</v>
      </c>
      <c r="V11" s="14" t="s">
        <v>57</v>
      </c>
      <c r="W11" s="14" t="str">
        <f t="shared" si="2"/>
        <v>WO</v>
      </c>
      <c r="X11" s="14" t="s">
        <v>57</v>
      </c>
      <c r="Y11" s="14" t="s">
        <v>57</v>
      </c>
      <c r="Z11" s="14" t="s">
        <v>57</v>
      </c>
      <c r="AA11" s="14" t="s">
        <v>57</v>
      </c>
      <c r="AB11" s="14" t="s">
        <v>57</v>
      </c>
      <c r="AC11" s="14" t="s">
        <v>57</v>
      </c>
      <c r="AD11" s="14" t="str">
        <f t="shared" si="2"/>
        <v>WO</v>
      </c>
      <c r="AE11" s="14" t="s">
        <v>57</v>
      </c>
      <c r="AF11" s="14" t="s">
        <v>57</v>
      </c>
      <c r="AG11" s="14" t="s">
        <v>57</v>
      </c>
      <c r="AH11" s="14" t="s">
        <v>57</v>
      </c>
      <c r="AI11" s="14" t="s">
        <v>57</v>
      </c>
      <c r="AJ11" s="14" t="s">
        <v>57</v>
      </c>
      <c r="AK11" s="14" t="str">
        <f t="shared" si="2"/>
        <v>WO</v>
      </c>
      <c r="AL11" s="14" t="s">
        <v>57</v>
      </c>
      <c r="AM11" s="14" t="s">
        <v>57</v>
      </c>
      <c r="AN11" s="32" t="str">
        <f t="shared" si="2"/>
        <v/>
      </c>
      <c r="AO11" s="39"/>
      <c r="AR11" s="43"/>
      <c r="AS11" s="22">
        <v>4</v>
      </c>
      <c r="AT11" s="14" t="s">
        <v>23</v>
      </c>
      <c r="AU11" s="14" t="str">
        <f t="shared" si="3"/>
        <v>June</v>
      </c>
      <c r="AV11" s="10" t="s">
        <v>6</v>
      </c>
      <c r="AW11" s="22">
        <f t="shared" si="4"/>
        <v>24</v>
      </c>
      <c r="AX11" s="22">
        <f t="shared" si="5"/>
        <v>0</v>
      </c>
      <c r="AY11" s="22">
        <f t="shared" si="6"/>
        <v>2</v>
      </c>
      <c r="AZ11" s="22">
        <f t="shared" si="7"/>
        <v>4</v>
      </c>
      <c r="BA11" s="22">
        <f t="shared" si="8"/>
        <v>30</v>
      </c>
      <c r="BB11" s="22">
        <f>JanMonthlyReport8[[#This Row],[Days]]-JanMonthlyReport8[[#This Row],[Absent]]</f>
        <v>30</v>
      </c>
      <c r="BC11" s="23">
        <v>75000</v>
      </c>
      <c r="BD11" s="23">
        <f>JanMonthlyReport8[[#This Row],[Basic Salary]]/JanMonthlyReport8[[#This Row],[Days]]</f>
        <v>2500</v>
      </c>
      <c r="BE11" s="23">
        <f>JanMonthlyReport8[[#This Row],[Per Day Salary]]*JanMonthlyReport8[[#This Row],[Absent]]</f>
        <v>0</v>
      </c>
      <c r="BF11" s="26">
        <f>JanMonthlyReport8[[#This Row],[Basic Salary]]-JanMonthlyReport8[[#This Row],[Deduction]]</f>
        <v>75000</v>
      </c>
      <c r="BG11" s="21"/>
      <c r="BH11" s="43"/>
    </row>
    <row r="12" spans="1:60" x14ac:dyDescent="0.25">
      <c r="A12"/>
      <c r="B12"/>
      <c r="E12" s="39"/>
      <c r="F12" s="24">
        <v>5</v>
      </c>
      <c r="G12" s="14" t="s">
        <v>24</v>
      </c>
      <c r="H12" s="10" t="s">
        <v>7</v>
      </c>
      <c r="I12" s="15">
        <f t="shared" si="9"/>
        <v>4</v>
      </c>
      <c r="J12" s="14" t="s">
        <v>57</v>
      </c>
      <c r="K12" s="14" t="s">
        <v>57</v>
      </c>
      <c r="L12" s="14" t="s">
        <v>57</v>
      </c>
      <c r="M12" s="14" t="s">
        <v>57</v>
      </c>
      <c r="N12" s="14" t="s">
        <v>57</v>
      </c>
      <c r="O12" s="14" t="s">
        <v>57</v>
      </c>
      <c r="P12" s="14" t="str">
        <f t="shared" si="2"/>
        <v>WO</v>
      </c>
      <c r="Q12" s="14" t="s">
        <v>57</v>
      </c>
      <c r="R12" s="14" t="s">
        <v>57</v>
      </c>
      <c r="S12" s="14" t="s">
        <v>58</v>
      </c>
      <c r="T12" s="14" t="s">
        <v>58</v>
      </c>
      <c r="U12" s="14" t="s">
        <v>57</v>
      </c>
      <c r="V12" s="14" t="s">
        <v>57</v>
      </c>
      <c r="W12" s="14" t="str">
        <f t="shared" si="2"/>
        <v>WO</v>
      </c>
      <c r="X12" s="14" t="s">
        <v>57</v>
      </c>
      <c r="Y12" s="14" t="s">
        <v>57</v>
      </c>
      <c r="Z12" s="14" t="s">
        <v>57</v>
      </c>
      <c r="AA12" s="14" t="s">
        <v>57</v>
      </c>
      <c r="AB12" s="14" t="s">
        <v>57</v>
      </c>
      <c r="AC12" s="14" t="s">
        <v>57</v>
      </c>
      <c r="AD12" s="14" t="str">
        <f t="shared" si="2"/>
        <v>WO</v>
      </c>
      <c r="AE12" s="14" t="s">
        <v>57</v>
      </c>
      <c r="AF12" s="14" t="s">
        <v>57</v>
      </c>
      <c r="AG12" s="14" t="s">
        <v>57</v>
      </c>
      <c r="AH12" s="14" t="s">
        <v>57</v>
      </c>
      <c r="AI12" s="14" t="s">
        <v>57</v>
      </c>
      <c r="AJ12" s="14" t="s">
        <v>57</v>
      </c>
      <c r="AK12" s="14" t="str">
        <f t="shared" si="2"/>
        <v>WO</v>
      </c>
      <c r="AL12" s="14" t="s">
        <v>57</v>
      </c>
      <c r="AM12" s="14" t="s">
        <v>57</v>
      </c>
      <c r="AN12" s="32" t="str">
        <f t="shared" si="2"/>
        <v/>
      </c>
      <c r="AO12" s="39"/>
      <c r="AR12" s="43"/>
      <c r="AS12" s="22">
        <v>5</v>
      </c>
      <c r="AT12" s="14" t="s">
        <v>24</v>
      </c>
      <c r="AU12" s="14" t="str">
        <f t="shared" si="3"/>
        <v>June</v>
      </c>
      <c r="AV12" s="10" t="s">
        <v>7</v>
      </c>
      <c r="AW12" s="22">
        <f t="shared" si="4"/>
        <v>24</v>
      </c>
      <c r="AX12" s="22">
        <f t="shared" si="5"/>
        <v>0</v>
      </c>
      <c r="AY12" s="22">
        <f t="shared" si="6"/>
        <v>2</v>
      </c>
      <c r="AZ12" s="22">
        <f t="shared" si="7"/>
        <v>4</v>
      </c>
      <c r="BA12" s="22">
        <f t="shared" si="8"/>
        <v>30</v>
      </c>
      <c r="BB12" s="22">
        <f>JanMonthlyReport8[[#This Row],[Days]]-JanMonthlyReport8[[#This Row],[Absent]]</f>
        <v>30</v>
      </c>
      <c r="BC12" s="23">
        <v>16000</v>
      </c>
      <c r="BD12" s="23">
        <f>JanMonthlyReport8[[#This Row],[Basic Salary]]/JanMonthlyReport8[[#This Row],[Days]]</f>
        <v>533.33333333333337</v>
      </c>
      <c r="BE12" s="23">
        <f>JanMonthlyReport8[[#This Row],[Per Day Salary]]*JanMonthlyReport8[[#This Row],[Absent]]</f>
        <v>0</v>
      </c>
      <c r="BF12" s="26">
        <f>JanMonthlyReport8[[#This Row],[Basic Salary]]-JanMonthlyReport8[[#This Row],[Deduction]]</f>
        <v>16000</v>
      </c>
      <c r="BG12" s="21"/>
      <c r="BH12" s="43"/>
    </row>
    <row r="13" spans="1:60" x14ac:dyDescent="0.25">
      <c r="A13"/>
      <c r="B13"/>
      <c r="E13" s="39"/>
      <c r="F13" s="24">
        <v>6</v>
      </c>
      <c r="G13" s="14" t="s">
        <v>25</v>
      </c>
      <c r="H13" s="10" t="s">
        <v>8</v>
      </c>
      <c r="I13" s="15">
        <f t="shared" si="9"/>
        <v>4</v>
      </c>
      <c r="J13" s="14" t="s">
        <v>57</v>
      </c>
      <c r="K13" s="14" t="s">
        <v>57</v>
      </c>
      <c r="L13" s="14" t="s">
        <v>57</v>
      </c>
      <c r="M13" s="14" t="s">
        <v>57</v>
      </c>
      <c r="N13" s="14" t="s">
        <v>57</v>
      </c>
      <c r="O13" s="14" t="s">
        <v>57</v>
      </c>
      <c r="P13" s="14" t="str">
        <f t="shared" si="2"/>
        <v>WO</v>
      </c>
      <c r="Q13" s="14" t="s">
        <v>57</v>
      </c>
      <c r="R13" s="14" t="s">
        <v>57</v>
      </c>
      <c r="S13" s="14" t="s">
        <v>58</v>
      </c>
      <c r="T13" s="14" t="s">
        <v>58</v>
      </c>
      <c r="U13" s="14" t="s">
        <v>57</v>
      </c>
      <c r="V13" s="14" t="s">
        <v>57</v>
      </c>
      <c r="W13" s="14" t="str">
        <f t="shared" si="2"/>
        <v>WO</v>
      </c>
      <c r="X13" s="14" t="s">
        <v>57</v>
      </c>
      <c r="Y13" s="14" t="s">
        <v>57</v>
      </c>
      <c r="Z13" s="14" t="s">
        <v>57</v>
      </c>
      <c r="AA13" s="14" t="s">
        <v>57</v>
      </c>
      <c r="AB13" s="14" t="s">
        <v>59</v>
      </c>
      <c r="AC13" s="14" t="s">
        <v>57</v>
      </c>
      <c r="AD13" s="14" t="str">
        <f t="shared" si="2"/>
        <v>WO</v>
      </c>
      <c r="AE13" s="14" t="s">
        <v>57</v>
      </c>
      <c r="AF13" s="14" t="s">
        <v>57</v>
      </c>
      <c r="AG13" s="14" t="s">
        <v>57</v>
      </c>
      <c r="AH13" s="14" t="s">
        <v>57</v>
      </c>
      <c r="AI13" s="14" t="s">
        <v>57</v>
      </c>
      <c r="AJ13" s="14" t="s">
        <v>57</v>
      </c>
      <c r="AK13" s="14" t="str">
        <f t="shared" si="2"/>
        <v>WO</v>
      </c>
      <c r="AL13" s="14" t="s">
        <v>57</v>
      </c>
      <c r="AM13" s="14" t="s">
        <v>57</v>
      </c>
      <c r="AN13" s="32" t="str">
        <f t="shared" si="2"/>
        <v/>
      </c>
      <c r="AO13" s="39"/>
      <c r="AR13" s="43"/>
      <c r="AS13" s="22">
        <v>6</v>
      </c>
      <c r="AT13" s="14" t="s">
        <v>25</v>
      </c>
      <c r="AU13" s="14" t="str">
        <f t="shared" si="3"/>
        <v>June</v>
      </c>
      <c r="AV13" s="10" t="s">
        <v>8</v>
      </c>
      <c r="AW13" s="22">
        <f t="shared" si="4"/>
        <v>23</v>
      </c>
      <c r="AX13" s="22">
        <f t="shared" si="5"/>
        <v>1</v>
      </c>
      <c r="AY13" s="22">
        <f t="shared" si="6"/>
        <v>2</v>
      </c>
      <c r="AZ13" s="22">
        <f t="shared" si="7"/>
        <v>4</v>
      </c>
      <c r="BA13" s="22">
        <f t="shared" si="8"/>
        <v>30</v>
      </c>
      <c r="BB13" s="22">
        <f>JanMonthlyReport8[[#This Row],[Days]]-JanMonthlyReport8[[#This Row],[Absent]]</f>
        <v>29</v>
      </c>
      <c r="BC13" s="23">
        <v>12000</v>
      </c>
      <c r="BD13" s="23">
        <f>JanMonthlyReport8[[#This Row],[Basic Salary]]/JanMonthlyReport8[[#This Row],[Days]]</f>
        <v>400</v>
      </c>
      <c r="BE13" s="23">
        <f>JanMonthlyReport8[[#This Row],[Per Day Salary]]*JanMonthlyReport8[[#This Row],[Absent]]</f>
        <v>400</v>
      </c>
      <c r="BF13" s="26">
        <f>JanMonthlyReport8[[#This Row],[Basic Salary]]-JanMonthlyReport8[[#This Row],[Deduction]]</f>
        <v>11600</v>
      </c>
      <c r="BG13" s="21"/>
      <c r="BH13" s="43"/>
    </row>
    <row r="14" spans="1:60" x14ac:dyDescent="0.25">
      <c r="A14"/>
      <c r="B14"/>
      <c r="E14" s="39"/>
      <c r="F14" s="24">
        <v>7</v>
      </c>
      <c r="G14" s="14" t="s">
        <v>26</v>
      </c>
      <c r="H14" s="10" t="s">
        <v>9</v>
      </c>
      <c r="I14" s="15">
        <f t="shared" si="9"/>
        <v>4</v>
      </c>
      <c r="J14" s="14" t="s">
        <v>57</v>
      </c>
      <c r="K14" s="14" t="s">
        <v>59</v>
      </c>
      <c r="L14" s="14" t="s">
        <v>57</v>
      </c>
      <c r="M14" s="14" t="s">
        <v>57</v>
      </c>
      <c r="N14" s="14" t="s">
        <v>57</v>
      </c>
      <c r="O14" s="14" t="s">
        <v>57</v>
      </c>
      <c r="P14" s="14" t="str">
        <f t="shared" si="2"/>
        <v>WO</v>
      </c>
      <c r="Q14" s="14" t="s">
        <v>57</v>
      </c>
      <c r="R14" s="14" t="s">
        <v>57</v>
      </c>
      <c r="S14" s="14" t="s">
        <v>58</v>
      </c>
      <c r="T14" s="14" t="s">
        <v>58</v>
      </c>
      <c r="U14" s="14" t="s">
        <v>57</v>
      </c>
      <c r="V14" s="14" t="s">
        <v>57</v>
      </c>
      <c r="W14" s="14" t="str">
        <f t="shared" si="2"/>
        <v>WO</v>
      </c>
      <c r="X14" s="14" t="s">
        <v>57</v>
      </c>
      <c r="Y14" s="14" t="s">
        <v>57</v>
      </c>
      <c r="Z14" s="14" t="s">
        <v>57</v>
      </c>
      <c r="AA14" s="14" t="s">
        <v>57</v>
      </c>
      <c r="AB14" s="14" t="s">
        <v>57</v>
      </c>
      <c r="AC14" s="14" t="s">
        <v>57</v>
      </c>
      <c r="AD14" s="14" t="str">
        <f t="shared" si="2"/>
        <v>WO</v>
      </c>
      <c r="AE14" s="14" t="s">
        <v>57</v>
      </c>
      <c r="AF14" s="14" t="s">
        <v>57</v>
      </c>
      <c r="AG14" s="14" t="s">
        <v>57</v>
      </c>
      <c r="AH14" s="14" t="s">
        <v>57</v>
      </c>
      <c r="AI14" s="14" t="s">
        <v>57</v>
      </c>
      <c r="AJ14" s="14" t="s">
        <v>57</v>
      </c>
      <c r="AK14" s="14" t="str">
        <f t="shared" si="2"/>
        <v>WO</v>
      </c>
      <c r="AL14" s="14" t="s">
        <v>57</v>
      </c>
      <c r="AM14" s="14" t="s">
        <v>57</v>
      </c>
      <c r="AN14" s="32" t="str">
        <f t="shared" si="2"/>
        <v/>
      </c>
      <c r="AO14" s="39"/>
      <c r="AR14" s="43"/>
      <c r="AS14" s="22">
        <v>7</v>
      </c>
      <c r="AT14" s="14" t="s">
        <v>26</v>
      </c>
      <c r="AU14" s="14" t="str">
        <f t="shared" si="3"/>
        <v>June</v>
      </c>
      <c r="AV14" s="10" t="s">
        <v>9</v>
      </c>
      <c r="AW14" s="22">
        <f t="shared" si="4"/>
        <v>23</v>
      </c>
      <c r="AX14" s="22">
        <f t="shared" si="5"/>
        <v>1</v>
      </c>
      <c r="AY14" s="22">
        <f t="shared" si="6"/>
        <v>2</v>
      </c>
      <c r="AZ14" s="22">
        <f t="shared" si="7"/>
        <v>4</v>
      </c>
      <c r="BA14" s="22">
        <f t="shared" si="8"/>
        <v>30</v>
      </c>
      <c r="BB14" s="22">
        <f>JanMonthlyReport8[[#This Row],[Days]]-JanMonthlyReport8[[#This Row],[Absent]]</f>
        <v>29</v>
      </c>
      <c r="BC14" s="23">
        <v>13000</v>
      </c>
      <c r="BD14" s="23">
        <f>JanMonthlyReport8[[#This Row],[Basic Salary]]/JanMonthlyReport8[[#This Row],[Days]]</f>
        <v>433.33333333333331</v>
      </c>
      <c r="BE14" s="23">
        <f>JanMonthlyReport8[[#This Row],[Per Day Salary]]*JanMonthlyReport8[[#This Row],[Absent]]</f>
        <v>433.33333333333331</v>
      </c>
      <c r="BF14" s="26">
        <f>JanMonthlyReport8[[#This Row],[Basic Salary]]-JanMonthlyReport8[[#This Row],[Deduction]]</f>
        <v>12566.666666666666</v>
      </c>
      <c r="BG14" s="21"/>
      <c r="BH14" s="43"/>
    </row>
    <row r="15" spans="1:60" x14ac:dyDescent="0.25">
      <c r="A15"/>
      <c r="B15"/>
      <c r="E15" s="39"/>
      <c r="F15" s="24">
        <v>8</v>
      </c>
      <c r="G15" s="14" t="s">
        <v>27</v>
      </c>
      <c r="H15" s="10" t="s">
        <v>11</v>
      </c>
      <c r="I15" s="15">
        <f t="shared" si="9"/>
        <v>4</v>
      </c>
      <c r="J15" s="14" t="s">
        <v>57</v>
      </c>
      <c r="K15" s="14" t="s">
        <v>57</v>
      </c>
      <c r="L15" s="14" t="s">
        <v>57</v>
      </c>
      <c r="M15" s="14" t="s">
        <v>57</v>
      </c>
      <c r="N15" s="14" t="s">
        <v>57</v>
      </c>
      <c r="O15" s="14" t="s">
        <v>57</v>
      </c>
      <c r="P15" s="14" t="str">
        <f t="shared" si="2"/>
        <v>WO</v>
      </c>
      <c r="Q15" s="14" t="s">
        <v>57</v>
      </c>
      <c r="R15" s="14" t="s">
        <v>57</v>
      </c>
      <c r="S15" s="14" t="s">
        <v>58</v>
      </c>
      <c r="T15" s="14" t="s">
        <v>58</v>
      </c>
      <c r="U15" s="14" t="s">
        <v>57</v>
      </c>
      <c r="V15" s="14" t="s">
        <v>57</v>
      </c>
      <c r="W15" s="14" t="str">
        <f t="shared" si="2"/>
        <v>WO</v>
      </c>
      <c r="X15" s="14" t="s">
        <v>57</v>
      </c>
      <c r="Y15" s="14" t="s">
        <v>57</v>
      </c>
      <c r="Z15" s="14" t="s">
        <v>57</v>
      </c>
      <c r="AA15" s="14" t="s">
        <v>57</v>
      </c>
      <c r="AB15" s="14" t="s">
        <v>57</v>
      </c>
      <c r="AC15" s="14" t="s">
        <v>57</v>
      </c>
      <c r="AD15" s="14" t="str">
        <f t="shared" si="2"/>
        <v>WO</v>
      </c>
      <c r="AE15" s="14" t="s">
        <v>57</v>
      </c>
      <c r="AF15" s="14" t="s">
        <v>57</v>
      </c>
      <c r="AG15" s="14" t="s">
        <v>57</v>
      </c>
      <c r="AH15" s="14" t="s">
        <v>57</v>
      </c>
      <c r="AI15" s="14" t="s">
        <v>57</v>
      </c>
      <c r="AJ15" s="14" t="s">
        <v>57</v>
      </c>
      <c r="AK15" s="14" t="str">
        <f t="shared" si="2"/>
        <v>WO</v>
      </c>
      <c r="AL15" s="14" t="s">
        <v>57</v>
      </c>
      <c r="AM15" s="14" t="s">
        <v>57</v>
      </c>
      <c r="AN15" s="32" t="str">
        <f t="shared" si="2"/>
        <v/>
      </c>
      <c r="AO15" s="39"/>
      <c r="AR15" s="43"/>
      <c r="AS15" s="22">
        <v>8</v>
      </c>
      <c r="AT15" s="14" t="s">
        <v>27</v>
      </c>
      <c r="AU15" s="14" t="str">
        <f t="shared" si="3"/>
        <v>June</v>
      </c>
      <c r="AV15" s="10" t="s">
        <v>11</v>
      </c>
      <c r="AW15" s="22">
        <f t="shared" si="4"/>
        <v>24</v>
      </c>
      <c r="AX15" s="22">
        <f t="shared" si="5"/>
        <v>0</v>
      </c>
      <c r="AY15" s="22">
        <f t="shared" si="6"/>
        <v>2</v>
      </c>
      <c r="AZ15" s="22">
        <f t="shared" si="7"/>
        <v>4</v>
      </c>
      <c r="BA15" s="22">
        <f t="shared" si="8"/>
        <v>30</v>
      </c>
      <c r="BB15" s="22">
        <f>JanMonthlyReport8[[#This Row],[Days]]-JanMonthlyReport8[[#This Row],[Absent]]</f>
        <v>30</v>
      </c>
      <c r="BC15" s="23">
        <v>8000</v>
      </c>
      <c r="BD15" s="23">
        <f>JanMonthlyReport8[[#This Row],[Basic Salary]]/JanMonthlyReport8[[#This Row],[Days]]</f>
        <v>266.66666666666669</v>
      </c>
      <c r="BE15" s="23">
        <f>JanMonthlyReport8[[#This Row],[Per Day Salary]]*JanMonthlyReport8[[#This Row],[Absent]]</f>
        <v>0</v>
      </c>
      <c r="BF15" s="26">
        <f>JanMonthlyReport8[[#This Row],[Basic Salary]]-JanMonthlyReport8[[#This Row],[Deduction]]</f>
        <v>8000</v>
      </c>
      <c r="BG15" s="21"/>
      <c r="BH15" s="43"/>
    </row>
    <row r="16" spans="1:60" x14ac:dyDescent="0.25">
      <c r="A16"/>
      <c r="B16"/>
      <c r="E16" s="39"/>
      <c r="F16" s="24">
        <v>9</v>
      </c>
      <c r="G16" s="14" t="s">
        <v>28</v>
      </c>
      <c r="H16" s="10" t="s">
        <v>10</v>
      </c>
      <c r="I16" s="15">
        <f t="shared" si="9"/>
        <v>4</v>
      </c>
      <c r="J16" s="14" t="s">
        <v>57</v>
      </c>
      <c r="K16" s="14" t="s">
        <v>57</v>
      </c>
      <c r="L16" s="14" t="s">
        <v>57</v>
      </c>
      <c r="M16" s="14" t="s">
        <v>57</v>
      </c>
      <c r="N16" s="14" t="s">
        <v>57</v>
      </c>
      <c r="O16" s="14" t="s">
        <v>57</v>
      </c>
      <c r="P16" s="14" t="str">
        <f t="shared" si="2"/>
        <v>WO</v>
      </c>
      <c r="Q16" s="14" t="s">
        <v>57</v>
      </c>
      <c r="R16" s="14" t="s">
        <v>57</v>
      </c>
      <c r="S16" s="14" t="s">
        <v>58</v>
      </c>
      <c r="T16" s="14" t="s">
        <v>58</v>
      </c>
      <c r="U16" s="14" t="s">
        <v>57</v>
      </c>
      <c r="V16" s="14" t="s">
        <v>57</v>
      </c>
      <c r="W16" s="14" t="str">
        <f t="shared" si="2"/>
        <v>WO</v>
      </c>
      <c r="X16" s="14" t="s">
        <v>57</v>
      </c>
      <c r="Y16" s="14" t="s">
        <v>57</v>
      </c>
      <c r="Z16" s="14" t="s">
        <v>57</v>
      </c>
      <c r="AA16" s="14" t="s">
        <v>57</v>
      </c>
      <c r="AB16" s="14" t="s">
        <v>57</v>
      </c>
      <c r="AC16" s="14" t="s">
        <v>57</v>
      </c>
      <c r="AD16" s="14" t="str">
        <f t="shared" ref="Z16:AN24" si="10">IF(AD$6 = "sun","WO","")</f>
        <v>WO</v>
      </c>
      <c r="AE16" s="14" t="s">
        <v>57</v>
      </c>
      <c r="AF16" s="14" t="s">
        <v>57</v>
      </c>
      <c r="AG16" s="14" t="s">
        <v>57</v>
      </c>
      <c r="AH16" s="14" t="s">
        <v>57</v>
      </c>
      <c r="AI16" s="14" t="s">
        <v>57</v>
      </c>
      <c r="AJ16" s="14" t="s">
        <v>57</v>
      </c>
      <c r="AK16" s="14" t="str">
        <f t="shared" si="10"/>
        <v>WO</v>
      </c>
      <c r="AL16" s="14" t="s">
        <v>57</v>
      </c>
      <c r="AM16" s="14" t="s">
        <v>57</v>
      </c>
      <c r="AN16" s="32" t="str">
        <f t="shared" si="10"/>
        <v/>
      </c>
      <c r="AO16" s="39"/>
      <c r="AR16" s="43"/>
      <c r="AS16" s="22">
        <v>9</v>
      </c>
      <c r="AT16" s="14" t="s">
        <v>28</v>
      </c>
      <c r="AU16" s="14" t="str">
        <f t="shared" si="3"/>
        <v>June</v>
      </c>
      <c r="AV16" s="10" t="s">
        <v>10</v>
      </c>
      <c r="AW16" s="22">
        <f t="shared" si="4"/>
        <v>24</v>
      </c>
      <c r="AX16" s="22">
        <f t="shared" si="5"/>
        <v>0</v>
      </c>
      <c r="AY16" s="22">
        <f t="shared" si="6"/>
        <v>2</v>
      </c>
      <c r="AZ16" s="22">
        <f t="shared" si="7"/>
        <v>4</v>
      </c>
      <c r="BA16" s="22">
        <f t="shared" si="8"/>
        <v>30</v>
      </c>
      <c r="BB16" s="22">
        <f>JanMonthlyReport8[[#This Row],[Days]]-JanMonthlyReport8[[#This Row],[Absent]]</f>
        <v>30</v>
      </c>
      <c r="BC16" s="23">
        <v>10000</v>
      </c>
      <c r="BD16" s="23">
        <f>JanMonthlyReport8[[#This Row],[Basic Salary]]/JanMonthlyReport8[[#This Row],[Days]]</f>
        <v>333.33333333333331</v>
      </c>
      <c r="BE16" s="23">
        <f>JanMonthlyReport8[[#This Row],[Per Day Salary]]*JanMonthlyReport8[[#This Row],[Absent]]</f>
        <v>0</v>
      </c>
      <c r="BF16" s="26">
        <f>JanMonthlyReport8[[#This Row],[Basic Salary]]-JanMonthlyReport8[[#This Row],[Deduction]]</f>
        <v>10000</v>
      </c>
      <c r="BG16" s="21"/>
      <c r="BH16" s="43"/>
    </row>
    <row r="17" spans="1:60" x14ac:dyDescent="0.25">
      <c r="A17"/>
      <c r="B17"/>
      <c r="E17" s="39"/>
      <c r="F17" s="24">
        <v>10</v>
      </c>
      <c r="G17" s="14" t="s">
        <v>29</v>
      </c>
      <c r="H17" s="10" t="s">
        <v>12</v>
      </c>
      <c r="I17" s="15">
        <f t="shared" si="9"/>
        <v>4</v>
      </c>
      <c r="J17" s="14" t="s">
        <v>57</v>
      </c>
      <c r="K17" s="14" t="s">
        <v>57</v>
      </c>
      <c r="L17" s="14" t="s">
        <v>57</v>
      </c>
      <c r="M17" s="14" t="s">
        <v>57</v>
      </c>
      <c r="N17" s="14" t="s">
        <v>57</v>
      </c>
      <c r="O17" s="14" t="s">
        <v>57</v>
      </c>
      <c r="P17" s="14" t="str">
        <f t="shared" ref="J9:Y24" si="11">IF(P$6 = "sun","WO","")</f>
        <v>WO</v>
      </c>
      <c r="Q17" s="14" t="s">
        <v>57</v>
      </c>
      <c r="R17" s="14" t="s">
        <v>57</v>
      </c>
      <c r="S17" s="14" t="s">
        <v>58</v>
      </c>
      <c r="T17" s="14" t="s">
        <v>58</v>
      </c>
      <c r="U17" s="14" t="s">
        <v>57</v>
      </c>
      <c r="V17" s="14" t="s">
        <v>57</v>
      </c>
      <c r="W17" s="14" t="str">
        <f t="shared" si="11"/>
        <v>WO</v>
      </c>
      <c r="X17" s="14" t="s">
        <v>57</v>
      </c>
      <c r="Y17" s="14" t="s">
        <v>57</v>
      </c>
      <c r="Z17" s="14" t="s">
        <v>57</v>
      </c>
      <c r="AA17" s="14" t="s">
        <v>57</v>
      </c>
      <c r="AB17" s="14" t="s">
        <v>57</v>
      </c>
      <c r="AC17" s="14" t="s">
        <v>57</v>
      </c>
      <c r="AD17" s="14" t="str">
        <f t="shared" si="10"/>
        <v>WO</v>
      </c>
      <c r="AE17" s="14" t="s">
        <v>57</v>
      </c>
      <c r="AF17" s="14" t="s">
        <v>57</v>
      </c>
      <c r="AG17" s="14" t="s">
        <v>57</v>
      </c>
      <c r="AH17" s="14" t="s">
        <v>57</v>
      </c>
      <c r="AI17" s="14" t="s">
        <v>57</v>
      </c>
      <c r="AJ17" s="14" t="s">
        <v>57</v>
      </c>
      <c r="AK17" s="14" t="str">
        <f t="shared" si="10"/>
        <v>WO</v>
      </c>
      <c r="AL17" s="14" t="s">
        <v>57</v>
      </c>
      <c r="AM17" s="14" t="s">
        <v>57</v>
      </c>
      <c r="AN17" s="32" t="str">
        <f t="shared" si="10"/>
        <v/>
      </c>
      <c r="AO17" s="39"/>
      <c r="AR17" s="43"/>
      <c r="AS17" s="22">
        <v>10</v>
      </c>
      <c r="AT17" s="14" t="s">
        <v>29</v>
      </c>
      <c r="AU17" s="14" t="str">
        <f t="shared" si="3"/>
        <v>June</v>
      </c>
      <c r="AV17" s="10" t="s">
        <v>12</v>
      </c>
      <c r="AW17" s="22">
        <f t="shared" si="4"/>
        <v>24</v>
      </c>
      <c r="AX17" s="22">
        <f t="shared" si="5"/>
        <v>0</v>
      </c>
      <c r="AY17" s="22">
        <f t="shared" si="6"/>
        <v>2</v>
      </c>
      <c r="AZ17" s="22">
        <f t="shared" si="7"/>
        <v>4</v>
      </c>
      <c r="BA17" s="22">
        <f t="shared" si="8"/>
        <v>30</v>
      </c>
      <c r="BB17" s="22">
        <f>JanMonthlyReport8[[#This Row],[Days]]-JanMonthlyReport8[[#This Row],[Absent]]</f>
        <v>30</v>
      </c>
      <c r="BC17" s="23">
        <v>13000</v>
      </c>
      <c r="BD17" s="23">
        <f>JanMonthlyReport8[[#This Row],[Basic Salary]]/JanMonthlyReport8[[#This Row],[Days]]</f>
        <v>433.33333333333331</v>
      </c>
      <c r="BE17" s="23">
        <f>JanMonthlyReport8[[#This Row],[Per Day Salary]]*JanMonthlyReport8[[#This Row],[Absent]]</f>
        <v>0</v>
      </c>
      <c r="BF17" s="26">
        <f>JanMonthlyReport8[[#This Row],[Basic Salary]]-JanMonthlyReport8[[#This Row],[Deduction]]</f>
        <v>13000</v>
      </c>
      <c r="BG17" s="21"/>
      <c r="BH17" s="43"/>
    </row>
    <row r="18" spans="1:60" x14ac:dyDescent="0.25">
      <c r="A18"/>
      <c r="B18"/>
      <c r="E18" s="39"/>
      <c r="F18" s="24">
        <v>11</v>
      </c>
      <c r="G18" s="14" t="s">
        <v>30</v>
      </c>
      <c r="H18" s="10" t="s">
        <v>13</v>
      </c>
      <c r="I18" s="15">
        <f t="shared" si="9"/>
        <v>4</v>
      </c>
      <c r="J18" s="14" t="s">
        <v>57</v>
      </c>
      <c r="K18" s="14" t="s">
        <v>57</v>
      </c>
      <c r="L18" s="14" t="s">
        <v>57</v>
      </c>
      <c r="M18" s="14" t="s">
        <v>57</v>
      </c>
      <c r="N18" s="14" t="s">
        <v>57</v>
      </c>
      <c r="O18" s="14" t="s">
        <v>59</v>
      </c>
      <c r="P18" s="14" t="str">
        <f t="shared" si="11"/>
        <v>WO</v>
      </c>
      <c r="Q18" s="14" t="s">
        <v>57</v>
      </c>
      <c r="R18" s="14" t="s">
        <v>57</v>
      </c>
      <c r="S18" s="14" t="s">
        <v>58</v>
      </c>
      <c r="T18" s="14" t="s">
        <v>58</v>
      </c>
      <c r="U18" s="14" t="s">
        <v>57</v>
      </c>
      <c r="V18" s="14" t="s">
        <v>57</v>
      </c>
      <c r="W18" s="14" t="str">
        <f t="shared" si="11"/>
        <v>WO</v>
      </c>
      <c r="X18" s="14" t="s">
        <v>57</v>
      </c>
      <c r="Y18" s="14" t="s">
        <v>57</v>
      </c>
      <c r="Z18" s="14" t="s">
        <v>57</v>
      </c>
      <c r="AA18" s="14" t="s">
        <v>57</v>
      </c>
      <c r="AB18" s="14" t="s">
        <v>59</v>
      </c>
      <c r="AC18" s="14" t="s">
        <v>57</v>
      </c>
      <c r="AD18" s="14" t="str">
        <f t="shared" si="10"/>
        <v>WO</v>
      </c>
      <c r="AE18" s="14" t="s">
        <v>57</v>
      </c>
      <c r="AF18" s="14" t="s">
        <v>57</v>
      </c>
      <c r="AG18" s="14" t="s">
        <v>57</v>
      </c>
      <c r="AH18" s="14" t="s">
        <v>57</v>
      </c>
      <c r="AI18" s="14" t="s">
        <v>57</v>
      </c>
      <c r="AJ18" s="14" t="s">
        <v>57</v>
      </c>
      <c r="AK18" s="14" t="str">
        <f t="shared" si="10"/>
        <v>WO</v>
      </c>
      <c r="AL18" s="14" t="s">
        <v>57</v>
      </c>
      <c r="AM18" s="14" t="s">
        <v>57</v>
      </c>
      <c r="AN18" s="32" t="str">
        <f t="shared" si="10"/>
        <v/>
      </c>
      <c r="AO18" s="39"/>
      <c r="AR18" s="43"/>
      <c r="AS18" s="22">
        <v>11</v>
      </c>
      <c r="AT18" s="14" t="s">
        <v>30</v>
      </c>
      <c r="AU18" s="14" t="str">
        <f t="shared" si="3"/>
        <v>June</v>
      </c>
      <c r="AV18" s="10" t="s">
        <v>13</v>
      </c>
      <c r="AW18" s="22">
        <f t="shared" si="4"/>
        <v>22</v>
      </c>
      <c r="AX18" s="22">
        <f t="shared" si="5"/>
        <v>2</v>
      </c>
      <c r="AY18" s="22">
        <f t="shared" si="6"/>
        <v>2</v>
      </c>
      <c r="AZ18" s="22">
        <f t="shared" si="7"/>
        <v>4</v>
      </c>
      <c r="BA18" s="22">
        <f t="shared" si="8"/>
        <v>30</v>
      </c>
      <c r="BB18" s="22">
        <f>JanMonthlyReport8[[#This Row],[Days]]-JanMonthlyReport8[[#This Row],[Absent]]</f>
        <v>28</v>
      </c>
      <c r="BC18" s="23">
        <v>10000</v>
      </c>
      <c r="BD18" s="23">
        <f>JanMonthlyReport8[[#This Row],[Basic Salary]]/JanMonthlyReport8[[#This Row],[Days]]</f>
        <v>333.33333333333331</v>
      </c>
      <c r="BE18" s="23">
        <f>JanMonthlyReport8[[#This Row],[Per Day Salary]]*JanMonthlyReport8[[#This Row],[Absent]]</f>
        <v>666.66666666666663</v>
      </c>
      <c r="BF18" s="26">
        <f>JanMonthlyReport8[[#This Row],[Basic Salary]]-JanMonthlyReport8[[#This Row],[Deduction]]</f>
        <v>9333.3333333333339</v>
      </c>
      <c r="BG18" s="21"/>
      <c r="BH18" s="43"/>
    </row>
    <row r="19" spans="1:60" x14ac:dyDescent="0.25">
      <c r="A19"/>
      <c r="B19"/>
      <c r="E19" s="39"/>
      <c r="F19" s="24">
        <v>12</v>
      </c>
      <c r="G19" s="14" t="s">
        <v>31</v>
      </c>
      <c r="H19" s="10" t="s">
        <v>14</v>
      </c>
      <c r="I19" s="15">
        <f t="shared" si="9"/>
        <v>4</v>
      </c>
      <c r="J19" s="14" t="s">
        <v>57</v>
      </c>
      <c r="K19" s="14" t="s">
        <v>57</v>
      </c>
      <c r="L19" s="14" t="s">
        <v>57</v>
      </c>
      <c r="M19" s="14" t="s">
        <v>57</v>
      </c>
      <c r="N19" s="14" t="s">
        <v>57</v>
      </c>
      <c r="O19" s="14" t="s">
        <v>57</v>
      </c>
      <c r="P19" s="14" t="str">
        <f t="shared" si="11"/>
        <v>WO</v>
      </c>
      <c r="Q19" s="14" t="s">
        <v>57</v>
      </c>
      <c r="R19" s="14" t="s">
        <v>57</v>
      </c>
      <c r="S19" s="14" t="s">
        <v>58</v>
      </c>
      <c r="T19" s="14" t="s">
        <v>58</v>
      </c>
      <c r="U19" s="14" t="s">
        <v>57</v>
      </c>
      <c r="V19" s="14" t="s">
        <v>57</v>
      </c>
      <c r="W19" s="14" t="str">
        <f t="shared" si="11"/>
        <v>WO</v>
      </c>
      <c r="X19" s="14" t="s">
        <v>57</v>
      </c>
      <c r="Y19" s="14" t="s">
        <v>57</v>
      </c>
      <c r="Z19" s="14" t="s">
        <v>57</v>
      </c>
      <c r="AA19" s="14" t="s">
        <v>57</v>
      </c>
      <c r="AB19" s="14" t="s">
        <v>57</v>
      </c>
      <c r="AC19" s="14" t="s">
        <v>57</v>
      </c>
      <c r="AD19" s="14" t="str">
        <f t="shared" si="10"/>
        <v>WO</v>
      </c>
      <c r="AE19" s="14" t="s">
        <v>57</v>
      </c>
      <c r="AF19" s="14" t="s">
        <v>57</v>
      </c>
      <c r="AG19" s="14" t="s">
        <v>57</v>
      </c>
      <c r="AH19" s="14" t="s">
        <v>57</v>
      </c>
      <c r="AI19" s="14" t="s">
        <v>57</v>
      </c>
      <c r="AJ19" s="14" t="s">
        <v>57</v>
      </c>
      <c r="AK19" s="14" t="str">
        <f t="shared" si="10"/>
        <v>WO</v>
      </c>
      <c r="AL19" s="14" t="s">
        <v>57</v>
      </c>
      <c r="AM19" s="14" t="s">
        <v>57</v>
      </c>
      <c r="AN19" s="32" t="str">
        <f t="shared" si="10"/>
        <v/>
      </c>
      <c r="AO19" s="39"/>
      <c r="AR19" s="43"/>
      <c r="AS19" s="22">
        <v>12</v>
      </c>
      <c r="AT19" s="14" t="s">
        <v>31</v>
      </c>
      <c r="AU19" s="14" t="str">
        <f t="shared" si="3"/>
        <v>June</v>
      </c>
      <c r="AV19" s="10" t="s">
        <v>14</v>
      </c>
      <c r="AW19" s="22">
        <f t="shared" si="4"/>
        <v>24</v>
      </c>
      <c r="AX19" s="22">
        <f t="shared" si="5"/>
        <v>0</v>
      </c>
      <c r="AY19" s="22">
        <f t="shared" si="6"/>
        <v>2</v>
      </c>
      <c r="AZ19" s="22">
        <f t="shared" si="7"/>
        <v>4</v>
      </c>
      <c r="BA19" s="22">
        <f t="shared" si="8"/>
        <v>30</v>
      </c>
      <c r="BB19" s="22">
        <f>JanMonthlyReport8[[#This Row],[Days]]-JanMonthlyReport8[[#This Row],[Absent]]</f>
        <v>30</v>
      </c>
      <c r="BC19" s="23">
        <v>9000</v>
      </c>
      <c r="BD19" s="23">
        <f>JanMonthlyReport8[[#This Row],[Basic Salary]]/JanMonthlyReport8[[#This Row],[Days]]</f>
        <v>300</v>
      </c>
      <c r="BE19" s="23">
        <f>JanMonthlyReport8[[#This Row],[Per Day Salary]]*JanMonthlyReport8[[#This Row],[Absent]]</f>
        <v>0</v>
      </c>
      <c r="BF19" s="26">
        <f>JanMonthlyReport8[[#This Row],[Basic Salary]]-JanMonthlyReport8[[#This Row],[Deduction]]</f>
        <v>9000</v>
      </c>
      <c r="BG19" s="21"/>
      <c r="BH19" s="43"/>
    </row>
    <row r="20" spans="1:60" x14ac:dyDescent="0.25">
      <c r="A20"/>
      <c r="B20"/>
      <c r="E20" s="39"/>
      <c r="F20" s="24">
        <v>13</v>
      </c>
      <c r="G20" s="14" t="s">
        <v>32</v>
      </c>
      <c r="H20" s="10" t="s">
        <v>15</v>
      </c>
      <c r="I20" s="15">
        <f t="shared" si="9"/>
        <v>4</v>
      </c>
      <c r="J20" s="14" t="s">
        <v>57</v>
      </c>
      <c r="K20" s="14" t="s">
        <v>57</v>
      </c>
      <c r="L20" s="14" t="s">
        <v>57</v>
      </c>
      <c r="M20" s="14" t="s">
        <v>57</v>
      </c>
      <c r="N20" s="14" t="s">
        <v>57</v>
      </c>
      <c r="O20" s="14" t="s">
        <v>57</v>
      </c>
      <c r="P20" s="14" t="str">
        <f t="shared" si="11"/>
        <v>WO</v>
      </c>
      <c r="Q20" s="14" t="s">
        <v>57</v>
      </c>
      <c r="R20" s="14" t="s">
        <v>57</v>
      </c>
      <c r="S20" s="14" t="s">
        <v>58</v>
      </c>
      <c r="T20" s="14" t="s">
        <v>58</v>
      </c>
      <c r="U20" s="14" t="s">
        <v>57</v>
      </c>
      <c r="V20" s="14" t="s">
        <v>57</v>
      </c>
      <c r="W20" s="14" t="str">
        <f t="shared" si="11"/>
        <v>WO</v>
      </c>
      <c r="X20" s="14" t="s">
        <v>57</v>
      </c>
      <c r="Y20" s="14" t="s">
        <v>57</v>
      </c>
      <c r="Z20" s="14" t="s">
        <v>57</v>
      </c>
      <c r="AA20" s="14" t="s">
        <v>57</v>
      </c>
      <c r="AB20" s="14" t="s">
        <v>57</v>
      </c>
      <c r="AC20" s="14" t="s">
        <v>57</v>
      </c>
      <c r="AD20" s="14" t="str">
        <f t="shared" si="10"/>
        <v>WO</v>
      </c>
      <c r="AE20" s="14" t="s">
        <v>57</v>
      </c>
      <c r="AF20" s="14" t="s">
        <v>57</v>
      </c>
      <c r="AG20" s="14" t="s">
        <v>57</v>
      </c>
      <c r="AH20" s="14" t="s">
        <v>57</v>
      </c>
      <c r="AI20" s="14" t="s">
        <v>57</v>
      </c>
      <c r="AJ20" s="14" t="s">
        <v>57</v>
      </c>
      <c r="AK20" s="14" t="str">
        <f t="shared" si="10"/>
        <v>WO</v>
      </c>
      <c r="AL20" s="14" t="s">
        <v>57</v>
      </c>
      <c r="AM20" s="14" t="s">
        <v>57</v>
      </c>
      <c r="AN20" s="32" t="str">
        <f t="shared" si="10"/>
        <v/>
      </c>
      <c r="AO20" s="39"/>
      <c r="AR20" s="43"/>
      <c r="AS20" s="22">
        <v>13</v>
      </c>
      <c r="AT20" s="14" t="s">
        <v>32</v>
      </c>
      <c r="AU20" s="14" t="str">
        <f t="shared" si="3"/>
        <v>June</v>
      </c>
      <c r="AV20" s="10" t="s">
        <v>15</v>
      </c>
      <c r="AW20" s="22">
        <f t="shared" si="4"/>
        <v>24</v>
      </c>
      <c r="AX20" s="22">
        <f t="shared" si="5"/>
        <v>0</v>
      </c>
      <c r="AY20" s="22">
        <f t="shared" si="6"/>
        <v>2</v>
      </c>
      <c r="AZ20" s="22">
        <f t="shared" si="7"/>
        <v>4</v>
      </c>
      <c r="BA20" s="22">
        <f t="shared" si="8"/>
        <v>30</v>
      </c>
      <c r="BB20" s="22">
        <f>JanMonthlyReport8[[#This Row],[Days]]-JanMonthlyReport8[[#This Row],[Absent]]</f>
        <v>30</v>
      </c>
      <c r="BC20" s="23">
        <v>10000</v>
      </c>
      <c r="BD20" s="23">
        <f>JanMonthlyReport8[[#This Row],[Basic Salary]]/JanMonthlyReport8[[#This Row],[Days]]</f>
        <v>333.33333333333331</v>
      </c>
      <c r="BE20" s="23">
        <f>JanMonthlyReport8[[#This Row],[Per Day Salary]]*JanMonthlyReport8[[#This Row],[Absent]]</f>
        <v>0</v>
      </c>
      <c r="BF20" s="26">
        <f>JanMonthlyReport8[[#This Row],[Basic Salary]]-JanMonthlyReport8[[#This Row],[Deduction]]</f>
        <v>10000</v>
      </c>
      <c r="BG20" s="21"/>
      <c r="BH20" s="43"/>
    </row>
    <row r="21" spans="1:60" x14ac:dyDescent="0.25">
      <c r="A21"/>
      <c r="B21"/>
      <c r="E21" s="39"/>
      <c r="F21" s="24">
        <v>14</v>
      </c>
      <c r="G21" s="14" t="s">
        <v>33</v>
      </c>
      <c r="H21" s="10" t="s">
        <v>16</v>
      </c>
      <c r="I21" s="15">
        <f t="shared" si="9"/>
        <v>4</v>
      </c>
      <c r="J21" s="14" t="s">
        <v>57</v>
      </c>
      <c r="K21" s="14" t="s">
        <v>57</v>
      </c>
      <c r="L21" s="14" t="s">
        <v>57</v>
      </c>
      <c r="M21" s="14" t="s">
        <v>57</v>
      </c>
      <c r="N21" s="14" t="s">
        <v>57</v>
      </c>
      <c r="O21" s="14" t="s">
        <v>57</v>
      </c>
      <c r="P21" s="14" t="str">
        <f t="shared" si="11"/>
        <v>WO</v>
      </c>
      <c r="Q21" s="14" t="s">
        <v>57</v>
      </c>
      <c r="R21" s="14" t="s">
        <v>57</v>
      </c>
      <c r="S21" s="14" t="s">
        <v>58</v>
      </c>
      <c r="T21" s="14" t="s">
        <v>58</v>
      </c>
      <c r="U21" s="14" t="s">
        <v>57</v>
      </c>
      <c r="V21" s="14" t="s">
        <v>57</v>
      </c>
      <c r="W21" s="14" t="str">
        <f t="shared" si="11"/>
        <v>WO</v>
      </c>
      <c r="X21" s="14" t="s">
        <v>57</v>
      </c>
      <c r="Y21" s="14" t="s">
        <v>57</v>
      </c>
      <c r="Z21" s="14" t="s">
        <v>57</v>
      </c>
      <c r="AA21" s="14" t="s">
        <v>57</v>
      </c>
      <c r="AB21" s="14" t="s">
        <v>57</v>
      </c>
      <c r="AC21" s="14" t="s">
        <v>57</v>
      </c>
      <c r="AD21" s="14" t="str">
        <f t="shared" si="10"/>
        <v>WO</v>
      </c>
      <c r="AE21" s="14" t="s">
        <v>57</v>
      </c>
      <c r="AF21" s="14" t="s">
        <v>57</v>
      </c>
      <c r="AG21" s="14" t="s">
        <v>57</v>
      </c>
      <c r="AH21" s="14" t="s">
        <v>57</v>
      </c>
      <c r="AI21" s="14" t="s">
        <v>57</v>
      </c>
      <c r="AJ21" s="14" t="s">
        <v>57</v>
      </c>
      <c r="AK21" s="14" t="str">
        <f t="shared" si="10"/>
        <v>WO</v>
      </c>
      <c r="AL21" s="14" t="s">
        <v>57</v>
      </c>
      <c r="AM21" s="14" t="s">
        <v>57</v>
      </c>
      <c r="AN21" s="32" t="str">
        <f t="shared" si="10"/>
        <v/>
      </c>
      <c r="AO21" s="39"/>
      <c r="AR21" s="43"/>
      <c r="AS21" s="22">
        <v>14</v>
      </c>
      <c r="AT21" s="14" t="s">
        <v>33</v>
      </c>
      <c r="AU21" s="14" t="str">
        <f t="shared" si="3"/>
        <v>June</v>
      </c>
      <c r="AV21" s="10" t="s">
        <v>16</v>
      </c>
      <c r="AW21" s="22">
        <f t="shared" si="4"/>
        <v>24</v>
      </c>
      <c r="AX21" s="22">
        <f t="shared" si="5"/>
        <v>0</v>
      </c>
      <c r="AY21" s="22">
        <f t="shared" si="6"/>
        <v>2</v>
      </c>
      <c r="AZ21" s="22">
        <f t="shared" si="7"/>
        <v>4</v>
      </c>
      <c r="BA21" s="22">
        <f t="shared" si="8"/>
        <v>30</v>
      </c>
      <c r="BB21" s="22">
        <f>JanMonthlyReport8[[#This Row],[Days]]-JanMonthlyReport8[[#This Row],[Absent]]</f>
        <v>30</v>
      </c>
      <c r="BC21" s="23">
        <v>10000</v>
      </c>
      <c r="BD21" s="23">
        <f>JanMonthlyReport8[[#This Row],[Basic Salary]]/JanMonthlyReport8[[#This Row],[Days]]</f>
        <v>333.33333333333331</v>
      </c>
      <c r="BE21" s="23">
        <f>JanMonthlyReport8[[#This Row],[Per Day Salary]]*JanMonthlyReport8[[#This Row],[Absent]]</f>
        <v>0</v>
      </c>
      <c r="BF21" s="26">
        <f>JanMonthlyReport8[[#This Row],[Basic Salary]]-JanMonthlyReport8[[#This Row],[Deduction]]</f>
        <v>10000</v>
      </c>
      <c r="BG21" s="21"/>
      <c r="BH21" s="43"/>
    </row>
    <row r="22" spans="1:60" x14ac:dyDescent="0.25">
      <c r="A22"/>
      <c r="B22"/>
      <c r="E22" s="39"/>
      <c r="F22" s="24">
        <v>15</v>
      </c>
      <c r="G22" s="14" t="s">
        <v>34</v>
      </c>
      <c r="H22" s="10" t="s">
        <v>17</v>
      </c>
      <c r="I22" s="15">
        <f t="shared" si="9"/>
        <v>4</v>
      </c>
      <c r="J22" s="14" t="s">
        <v>59</v>
      </c>
      <c r="K22" s="14" t="s">
        <v>57</v>
      </c>
      <c r="L22" s="14" t="s">
        <v>57</v>
      </c>
      <c r="M22" s="14" t="s">
        <v>57</v>
      </c>
      <c r="N22" s="14" t="s">
        <v>57</v>
      </c>
      <c r="O22" s="14" t="s">
        <v>57</v>
      </c>
      <c r="P22" s="14" t="str">
        <f t="shared" si="11"/>
        <v>WO</v>
      </c>
      <c r="Q22" s="14" t="s">
        <v>57</v>
      </c>
      <c r="R22" s="14" t="s">
        <v>57</v>
      </c>
      <c r="S22" s="14" t="s">
        <v>58</v>
      </c>
      <c r="T22" s="14" t="s">
        <v>58</v>
      </c>
      <c r="U22" s="14" t="s">
        <v>57</v>
      </c>
      <c r="V22" s="14" t="s">
        <v>57</v>
      </c>
      <c r="W22" s="14" t="str">
        <f t="shared" si="11"/>
        <v>WO</v>
      </c>
      <c r="X22" s="14" t="s">
        <v>57</v>
      </c>
      <c r="Y22" s="14" t="s">
        <v>57</v>
      </c>
      <c r="Z22" s="14" t="s">
        <v>57</v>
      </c>
      <c r="AA22" s="14" t="s">
        <v>57</v>
      </c>
      <c r="AB22" s="14" t="s">
        <v>57</v>
      </c>
      <c r="AC22" s="14" t="s">
        <v>57</v>
      </c>
      <c r="AD22" s="14" t="str">
        <f t="shared" si="10"/>
        <v>WO</v>
      </c>
      <c r="AE22" s="14" t="s">
        <v>57</v>
      </c>
      <c r="AF22" s="14" t="s">
        <v>57</v>
      </c>
      <c r="AG22" s="14" t="s">
        <v>57</v>
      </c>
      <c r="AH22" s="14" t="s">
        <v>57</v>
      </c>
      <c r="AI22" s="14" t="s">
        <v>57</v>
      </c>
      <c r="AJ22" s="14" t="s">
        <v>57</v>
      </c>
      <c r="AK22" s="14" t="str">
        <f t="shared" si="10"/>
        <v>WO</v>
      </c>
      <c r="AL22" s="14" t="s">
        <v>57</v>
      </c>
      <c r="AM22" s="14" t="s">
        <v>57</v>
      </c>
      <c r="AN22" s="32" t="str">
        <f t="shared" si="10"/>
        <v/>
      </c>
      <c r="AO22" s="39"/>
      <c r="AR22" s="43"/>
      <c r="AS22" s="22">
        <v>15</v>
      </c>
      <c r="AT22" s="14" t="s">
        <v>34</v>
      </c>
      <c r="AU22" s="14" t="str">
        <f t="shared" si="3"/>
        <v>June</v>
      </c>
      <c r="AV22" s="10" t="s">
        <v>17</v>
      </c>
      <c r="AW22" s="22">
        <f t="shared" si="4"/>
        <v>23</v>
      </c>
      <c r="AX22" s="22">
        <f t="shared" si="5"/>
        <v>1</v>
      </c>
      <c r="AY22" s="22">
        <f t="shared" si="6"/>
        <v>2</v>
      </c>
      <c r="AZ22" s="22">
        <f t="shared" si="7"/>
        <v>4</v>
      </c>
      <c r="BA22" s="22">
        <f t="shared" si="8"/>
        <v>30</v>
      </c>
      <c r="BB22" s="22">
        <f>JanMonthlyReport8[[#This Row],[Days]]-JanMonthlyReport8[[#This Row],[Absent]]</f>
        <v>29</v>
      </c>
      <c r="BC22" s="23">
        <v>10000</v>
      </c>
      <c r="BD22" s="23">
        <f>JanMonthlyReport8[[#This Row],[Basic Salary]]/JanMonthlyReport8[[#This Row],[Days]]</f>
        <v>333.33333333333331</v>
      </c>
      <c r="BE22" s="23">
        <f>JanMonthlyReport8[[#This Row],[Per Day Salary]]*JanMonthlyReport8[[#This Row],[Absent]]</f>
        <v>333.33333333333331</v>
      </c>
      <c r="BF22" s="26">
        <f>JanMonthlyReport8[[#This Row],[Basic Salary]]-JanMonthlyReport8[[#This Row],[Deduction]]</f>
        <v>9666.6666666666661</v>
      </c>
      <c r="BG22" s="21"/>
      <c r="BH22" s="43"/>
    </row>
    <row r="23" spans="1:60" x14ac:dyDescent="0.25">
      <c r="A23"/>
      <c r="B23"/>
      <c r="E23" s="39"/>
      <c r="F23" s="24">
        <v>16</v>
      </c>
      <c r="G23" s="14" t="s">
        <v>35</v>
      </c>
      <c r="H23" s="10" t="s">
        <v>18</v>
      </c>
      <c r="I23" s="15">
        <f t="shared" si="9"/>
        <v>4</v>
      </c>
      <c r="J23" s="14" t="s">
        <v>57</v>
      </c>
      <c r="K23" s="14" t="s">
        <v>57</v>
      </c>
      <c r="L23" s="14" t="s">
        <v>57</v>
      </c>
      <c r="M23" s="14" t="s">
        <v>57</v>
      </c>
      <c r="N23" s="14" t="s">
        <v>57</v>
      </c>
      <c r="O23" s="14" t="s">
        <v>57</v>
      </c>
      <c r="P23" s="14" t="str">
        <f t="shared" si="11"/>
        <v>WO</v>
      </c>
      <c r="Q23" s="14" t="s">
        <v>57</v>
      </c>
      <c r="R23" s="14" t="s">
        <v>57</v>
      </c>
      <c r="S23" s="14" t="s">
        <v>58</v>
      </c>
      <c r="T23" s="14" t="s">
        <v>58</v>
      </c>
      <c r="U23" s="14" t="s">
        <v>57</v>
      </c>
      <c r="V23" s="14" t="s">
        <v>57</v>
      </c>
      <c r="W23" s="14" t="str">
        <f t="shared" si="11"/>
        <v>WO</v>
      </c>
      <c r="X23" s="14" t="s">
        <v>57</v>
      </c>
      <c r="Y23" s="14" t="s">
        <v>57</v>
      </c>
      <c r="Z23" s="14" t="s">
        <v>57</v>
      </c>
      <c r="AA23" s="14" t="s">
        <v>57</v>
      </c>
      <c r="AB23" s="14" t="s">
        <v>57</v>
      </c>
      <c r="AC23" s="14" t="s">
        <v>57</v>
      </c>
      <c r="AD23" s="14" t="str">
        <f t="shared" si="10"/>
        <v>WO</v>
      </c>
      <c r="AE23" s="14" t="s">
        <v>57</v>
      </c>
      <c r="AF23" s="14" t="s">
        <v>57</v>
      </c>
      <c r="AG23" s="14" t="s">
        <v>57</v>
      </c>
      <c r="AH23" s="14" t="s">
        <v>57</v>
      </c>
      <c r="AI23" s="14" t="s">
        <v>57</v>
      </c>
      <c r="AJ23" s="14" t="s">
        <v>57</v>
      </c>
      <c r="AK23" s="14" t="str">
        <f t="shared" si="10"/>
        <v>WO</v>
      </c>
      <c r="AL23" s="14" t="s">
        <v>57</v>
      </c>
      <c r="AM23" s="14" t="s">
        <v>57</v>
      </c>
      <c r="AN23" s="32" t="str">
        <f t="shared" si="10"/>
        <v/>
      </c>
      <c r="AO23" s="39"/>
      <c r="AR23" s="43"/>
      <c r="AS23" s="22">
        <v>16</v>
      </c>
      <c r="AT23" s="14" t="s">
        <v>35</v>
      </c>
      <c r="AU23" s="14" t="str">
        <f t="shared" si="3"/>
        <v>June</v>
      </c>
      <c r="AV23" s="10" t="s">
        <v>18</v>
      </c>
      <c r="AW23" s="22">
        <f t="shared" si="4"/>
        <v>24</v>
      </c>
      <c r="AX23" s="22">
        <f t="shared" si="5"/>
        <v>0</v>
      </c>
      <c r="AY23" s="22">
        <f t="shared" si="6"/>
        <v>2</v>
      </c>
      <c r="AZ23" s="22">
        <f t="shared" si="7"/>
        <v>4</v>
      </c>
      <c r="BA23" s="22">
        <f t="shared" si="8"/>
        <v>30</v>
      </c>
      <c r="BB23" s="22">
        <f>JanMonthlyReport8[[#This Row],[Days]]-JanMonthlyReport8[[#This Row],[Absent]]</f>
        <v>30</v>
      </c>
      <c r="BC23" s="23">
        <v>10000</v>
      </c>
      <c r="BD23" s="23">
        <f>JanMonthlyReport8[[#This Row],[Basic Salary]]/JanMonthlyReport8[[#This Row],[Days]]</f>
        <v>333.33333333333331</v>
      </c>
      <c r="BE23" s="23">
        <f>JanMonthlyReport8[[#This Row],[Per Day Salary]]*JanMonthlyReport8[[#This Row],[Absent]]</f>
        <v>0</v>
      </c>
      <c r="BF23" s="26">
        <f>JanMonthlyReport8[[#This Row],[Basic Salary]]-JanMonthlyReport8[[#This Row],[Deduction]]</f>
        <v>10000</v>
      </c>
      <c r="BG23" s="21"/>
      <c r="BH23" s="43"/>
    </row>
    <row r="24" spans="1:60" ht="15.75" thickBot="1" x14ac:dyDescent="0.3">
      <c r="A24"/>
      <c r="B24"/>
      <c r="E24" s="39"/>
      <c r="F24" s="25">
        <v>17</v>
      </c>
      <c r="G24" s="33" t="s">
        <v>36</v>
      </c>
      <c r="H24" s="34" t="s">
        <v>19</v>
      </c>
      <c r="I24" s="35">
        <f t="shared" si="9"/>
        <v>4</v>
      </c>
      <c r="J24" s="33" t="s">
        <v>57</v>
      </c>
      <c r="K24" s="33" t="s">
        <v>57</v>
      </c>
      <c r="L24" s="33" t="s">
        <v>57</v>
      </c>
      <c r="M24" s="33" t="s">
        <v>57</v>
      </c>
      <c r="N24" s="33" t="s">
        <v>57</v>
      </c>
      <c r="O24" s="33" t="s">
        <v>57</v>
      </c>
      <c r="P24" s="33" t="str">
        <f t="shared" si="11"/>
        <v>WO</v>
      </c>
      <c r="Q24" s="33" t="s">
        <v>57</v>
      </c>
      <c r="R24" s="33" t="s">
        <v>57</v>
      </c>
      <c r="S24" s="33" t="s">
        <v>58</v>
      </c>
      <c r="T24" s="33" t="s">
        <v>58</v>
      </c>
      <c r="U24" s="33" t="s">
        <v>57</v>
      </c>
      <c r="V24" s="33" t="s">
        <v>57</v>
      </c>
      <c r="W24" s="33" t="str">
        <f t="shared" si="11"/>
        <v>WO</v>
      </c>
      <c r="X24" s="33" t="s">
        <v>57</v>
      </c>
      <c r="Y24" s="33" t="s">
        <v>57</v>
      </c>
      <c r="Z24" s="33" t="s">
        <v>57</v>
      </c>
      <c r="AA24" s="33" t="s">
        <v>57</v>
      </c>
      <c r="AB24" s="33" t="s">
        <v>57</v>
      </c>
      <c r="AC24" s="33" t="s">
        <v>57</v>
      </c>
      <c r="AD24" s="33" t="str">
        <f t="shared" si="10"/>
        <v>WO</v>
      </c>
      <c r="AE24" s="33" t="s">
        <v>57</v>
      </c>
      <c r="AF24" s="33" t="s">
        <v>57</v>
      </c>
      <c r="AG24" s="33" t="s">
        <v>57</v>
      </c>
      <c r="AH24" s="33" t="s">
        <v>57</v>
      </c>
      <c r="AI24" s="33" t="s">
        <v>57</v>
      </c>
      <c r="AJ24" s="33" t="s">
        <v>57</v>
      </c>
      <c r="AK24" s="33" t="str">
        <f t="shared" si="10"/>
        <v>WO</v>
      </c>
      <c r="AL24" s="33" t="s">
        <v>57</v>
      </c>
      <c r="AM24" s="33" t="s">
        <v>57</v>
      </c>
      <c r="AN24" s="36" t="str">
        <f t="shared" si="10"/>
        <v/>
      </c>
      <c r="AO24" s="39"/>
      <c r="AR24" s="43"/>
      <c r="AS24" s="22">
        <v>17</v>
      </c>
      <c r="AT24" s="14" t="s">
        <v>36</v>
      </c>
      <c r="AU24" s="14" t="str">
        <f t="shared" si="3"/>
        <v>June</v>
      </c>
      <c r="AV24" s="10" t="s">
        <v>19</v>
      </c>
      <c r="AW24" s="22">
        <f t="shared" si="4"/>
        <v>24</v>
      </c>
      <c r="AX24" s="22">
        <f t="shared" si="5"/>
        <v>0</v>
      </c>
      <c r="AY24" s="22">
        <f t="shared" si="6"/>
        <v>2</v>
      </c>
      <c r="AZ24" s="22">
        <f t="shared" si="7"/>
        <v>4</v>
      </c>
      <c r="BA24" s="22">
        <f t="shared" si="8"/>
        <v>30</v>
      </c>
      <c r="BB24" s="22">
        <f>JanMonthlyReport8[[#This Row],[Days]]-JanMonthlyReport8[[#This Row],[Absent]]</f>
        <v>30</v>
      </c>
      <c r="BC24" s="23">
        <v>9000</v>
      </c>
      <c r="BD24" s="23">
        <f>JanMonthlyReport8[[#This Row],[Basic Salary]]/JanMonthlyReport8[[#This Row],[Days]]</f>
        <v>300</v>
      </c>
      <c r="BE24" s="23">
        <f>JanMonthlyReport8[[#This Row],[Per Day Salary]]*JanMonthlyReport8[[#This Row],[Absent]]</f>
        <v>0</v>
      </c>
      <c r="BF24" s="26">
        <f>JanMonthlyReport8[[#This Row],[Basic Salary]]-JanMonthlyReport8[[#This Row],[Deduction]]</f>
        <v>9000</v>
      </c>
      <c r="BG24" s="21"/>
      <c r="BH24" s="43"/>
    </row>
    <row r="25" spans="1:60" x14ac:dyDescent="0.25">
      <c r="A25"/>
      <c r="B25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</row>
    <row r="26" spans="1:60" x14ac:dyDescent="0.25">
      <c r="A26"/>
      <c r="B26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</row>
    <row r="27" spans="1:60" x14ac:dyDescent="0.25">
      <c r="A27"/>
      <c r="B27"/>
    </row>
    <row r="28" spans="1:60" x14ac:dyDescent="0.25">
      <c r="A28"/>
      <c r="B28"/>
    </row>
    <row r="29" spans="1:60" x14ac:dyDescent="0.25">
      <c r="A29"/>
      <c r="B29"/>
    </row>
    <row r="30" spans="1:60" x14ac:dyDescent="0.25">
      <c r="A30"/>
      <c r="B30"/>
    </row>
    <row r="31" spans="1:60" x14ac:dyDescent="0.25">
      <c r="A31"/>
      <c r="B31"/>
    </row>
    <row r="32" spans="1:60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</sheetData>
  <mergeCells count="1">
    <mergeCell ref="F6:H6"/>
  </mergeCells>
  <conditionalFormatting sqref="AQ7 P8:P24 W8:W24 AD8:AD24 AK8:AK24 AN8:AN24">
    <cfRule type="containsText" dxfId="499" priority="10" operator="containsText" text="WO">
      <formula>NOT(ISERROR(SEARCH("WO",P7)))</formula>
    </cfRule>
  </conditionalFormatting>
  <conditionalFormatting sqref="G4 I8:I24 P8:P24 W8:W24 AD8:AD24 AK8:AK24 AN8:AN24">
    <cfRule type="containsText" dxfId="498" priority="9" operator="containsText" text="WO">
      <formula>NOT(ISERROR(SEARCH("WO",G4)))</formula>
    </cfRule>
  </conditionalFormatting>
  <conditionalFormatting sqref="P8:P24 W8:W24 AD8:AD24 AK8:AK24 AN8:AN24">
    <cfRule type="containsText" dxfId="495" priority="6" operator="containsText" text="L">
      <formula>NOT(ISERROR(SEARCH("L",P8)))</formula>
    </cfRule>
    <cfRule type="containsText" dxfId="496" priority="7" operator="containsText" text="A">
      <formula>NOT(ISERROR(SEARCH("A",P8)))</formula>
    </cfRule>
    <cfRule type="containsText" dxfId="497" priority="8" operator="containsText" text="P">
      <formula>NOT(ISERROR(SEARCH("P",P8)))</formula>
    </cfRule>
  </conditionalFormatting>
  <conditionalFormatting sqref="AL8:AM24 AE8:AJ24 X8:AC24 Q8:V24 J8:O24">
    <cfRule type="containsText" dxfId="64" priority="5" operator="containsText" text="WO">
      <formula>NOT(ISERROR(SEARCH("WO",J8)))</formula>
    </cfRule>
  </conditionalFormatting>
  <conditionalFormatting sqref="AL8:AM24 AE8:AJ24 X8:AC24 Q8:V24 J8:O24">
    <cfRule type="containsText" dxfId="63" priority="4" operator="containsText" text="WO">
      <formula>NOT(ISERROR(SEARCH("WO",J8)))</formula>
    </cfRule>
  </conditionalFormatting>
  <conditionalFormatting sqref="AL8:AM24 AE8:AJ24 X8:AC24 Q8:V24 J8:O24">
    <cfRule type="containsText" dxfId="62" priority="1" operator="containsText" text="L">
      <formula>NOT(ISERROR(SEARCH("L",J8)))</formula>
    </cfRule>
    <cfRule type="containsText" dxfId="61" priority="2" operator="containsText" text="A">
      <formula>NOT(ISERROR(SEARCH("A",J8)))</formula>
    </cfRule>
    <cfRule type="containsText" dxfId="60" priority="3" operator="containsText" text="P">
      <formula>NOT(ISERROR(SEARCH("P",J8)))</formula>
    </cfRule>
  </conditionalFormatting>
  <dataValidations count="1">
    <dataValidation type="list" allowBlank="1" showInputMessage="1" showErrorMessage="1" sqref="J8:O24 Q8:V24 X8:AC24 AE8:AJ24 AL8:AM24" xr:uid="{9C3F899A-475D-4181-90A6-1A51F23A6522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49D26E-2A34-42BE-B278-B36B912B045F}">
          <x14:formula1>
            <xm:f>Rough!$A$1:$A$12</xm:f>
          </x14:formula1>
          <xm:sqref>G4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F6B875C2-8504-46B1-BC0C-926CC3C1D80D}">
          <x14:colorSeries theme="7"/>
          <x14:colorNegative rgb="FFFF0000"/>
          <x14:colorAxis rgb="FF000000"/>
          <x14:colorMarkers rgb="FFD00000"/>
          <x14:colorFirst rgb="FFD00000"/>
          <x14:colorLast rgb="FFD00000"/>
          <x14:colorHigh rgb="FF2BF595"/>
          <x14:colorLow rgb="FFD00000"/>
          <x14:sparklines>
            <x14:sparkline>
              <xm:f>Jun!AW8:AY8</xm:f>
              <xm:sqref>BG8</xm:sqref>
            </x14:sparkline>
            <x14:sparkline>
              <xm:f>Jun!AW9:AY9</xm:f>
              <xm:sqref>BG9</xm:sqref>
            </x14:sparkline>
            <x14:sparkline>
              <xm:f>Jun!AW10:AY10</xm:f>
              <xm:sqref>BG10</xm:sqref>
            </x14:sparkline>
            <x14:sparkline>
              <xm:f>Jun!AW11:AY11</xm:f>
              <xm:sqref>BG11</xm:sqref>
            </x14:sparkline>
            <x14:sparkline>
              <xm:f>Jun!AW12:AY12</xm:f>
              <xm:sqref>BG12</xm:sqref>
            </x14:sparkline>
            <x14:sparkline>
              <xm:f>Jun!AW13:AY13</xm:f>
              <xm:sqref>BG13</xm:sqref>
            </x14:sparkline>
            <x14:sparkline>
              <xm:f>Jun!AW14:AY14</xm:f>
              <xm:sqref>BG14</xm:sqref>
            </x14:sparkline>
            <x14:sparkline>
              <xm:f>Jun!AW15:AY15</xm:f>
              <xm:sqref>BG15</xm:sqref>
            </x14:sparkline>
            <x14:sparkline>
              <xm:f>Jun!AW16:AY16</xm:f>
              <xm:sqref>BG16</xm:sqref>
            </x14:sparkline>
            <x14:sparkline>
              <xm:f>Jun!AW17:AY17</xm:f>
              <xm:sqref>BG17</xm:sqref>
            </x14:sparkline>
            <x14:sparkline>
              <xm:f>Jun!AW18:AY18</xm:f>
              <xm:sqref>BG18</xm:sqref>
            </x14:sparkline>
            <x14:sparkline>
              <xm:f>Jun!AW19:AY19</xm:f>
              <xm:sqref>BG19</xm:sqref>
            </x14:sparkline>
            <x14:sparkline>
              <xm:f>Jun!AW20:AY20</xm:f>
              <xm:sqref>BG20</xm:sqref>
            </x14:sparkline>
            <x14:sparkline>
              <xm:f>Jun!AW21:AY21</xm:f>
              <xm:sqref>BG21</xm:sqref>
            </x14:sparkline>
            <x14:sparkline>
              <xm:f>Jun!AW22:AY22</xm:f>
              <xm:sqref>BG22</xm:sqref>
            </x14:sparkline>
            <x14:sparkline>
              <xm:f>Jun!AW23:AY23</xm:f>
              <xm:sqref>BG23</xm:sqref>
            </x14:sparkline>
            <x14:sparkline>
              <xm:f>Jun!AW24:AY24</xm:f>
              <xm:sqref>BG24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C386-1038-418E-AB57-8A81586494CD}">
  <dimension ref="A1:BH36"/>
  <sheetViews>
    <sheetView topLeftCell="AQ1" zoomScale="80" zoomScaleNormal="80" workbookViewId="0">
      <selection activeCell="BG8" sqref="BG8:BG24"/>
    </sheetView>
  </sheetViews>
  <sheetFormatPr defaultRowHeight="15" x14ac:dyDescent="0.25"/>
  <cols>
    <col min="1" max="5" width="9.140625" style="37"/>
    <col min="6" max="6" width="8.28515625" style="37" bestFit="1" customWidth="1"/>
    <col min="7" max="7" width="14.7109375" style="37" bestFit="1" customWidth="1"/>
    <col min="8" max="8" width="24" style="37" bestFit="1" customWidth="1"/>
    <col min="9" max="9" width="9.85546875" style="37" bestFit="1" customWidth="1"/>
    <col min="10" max="10" width="8.42578125" style="37" bestFit="1" customWidth="1"/>
    <col min="11" max="11" width="6.42578125" style="37" customWidth="1"/>
    <col min="12" max="12" width="5.85546875" style="37" bestFit="1" customWidth="1"/>
    <col min="13" max="13" width="6.42578125" style="37" bestFit="1" customWidth="1"/>
    <col min="14" max="14" width="6.5703125" style="37" bestFit="1" customWidth="1"/>
    <col min="15" max="15" width="6.140625" style="37" bestFit="1" customWidth="1"/>
    <col min="16" max="16" width="6.85546875" style="37" bestFit="1" customWidth="1"/>
    <col min="17" max="17" width="6.140625" style="37" bestFit="1" customWidth="1"/>
    <col min="18" max="18" width="4.7109375" style="37" bestFit="1" customWidth="1"/>
    <col min="19" max="19" width="5.85546875" style="37" bestFit="1" customWidth="1"/>
    <col min="20" max="20" width="6.42578125" style="37" bestFit="1" customWidth="1"/>
    <col min="21" max="21" width="6.5703125" style="37" bestFit="1" customWidth="1"/>
    <col min="22" max="22" width="6.140625" style="37" bestFit="1" customWidth="1"/>
    <col min="23" max="23" width="6.85546875" style="37" bestFit="1" customWidth="1"/>
    <col min="24" max="24" width="6.140625" style="37" bestFit="1" customWidth="1"/>
    <col min="25" max="25" width="4.7109375" style="37" bestFit="1" customWidth="1"/>
    <col min="26" max="26" width="5.85546875" style="37" bestFit="1" customWidth="1"/>
    <col min="27" max="27" width="6.42578125" style="37" bestFit="1" customWidth="1"/>
    <col min="28" max="28" width="6.5703125" style="37" bestFit="1" customWidth="1"/>
    <col min="29" max="29" width="6.140625" style="37" bestFit="1" customWidth="1"/>
    <col min="30" max="30" width="6.85546875" style="37" bestFit="1" customWidth="1"/>
    <col min="31" max="31" width="6.140625" style="37" bestFit="1" customWidth="1"/>
    <col min="32" max="32" width="4.7109375" style="37" bestFit="1" customWidth="1"/>
    <col min="33" max="33" width="5.85546875" style="37" bestFit="1" customWidth="1"/>
    <col min="34" max="34" width="6.42578125" style="37" bestFit="1" customWidth="1"/>
    <col min="35" max="35" width="6.5703125" style="37" bestFit="1" customWidth="1"/>
    <col min="36" max="36" width="6.140625" style="37" bestFit="1" customWidth="1"/>
    <col min="37" max="37" width="6.85546875" style="37" bestFit="1" customWidth="1"/>
    <col min="38" max="38" width="6.140625" style="37" bestFit="1" customWidth="1"/>
    <col min="39" max="39" width="4.5703125" style="37" bestFit="1" customWidth="1"/>
    <col min="40" max="40" width="5.7109375" style="37" bestFit="1" customWidth="1"/>
    <col min="41" max="45" width="9.140625" style="37"/>
    <col min="46" max="47" width="15.140625" style="37" customWidth="1"/>
    <col min="48" max="48" width="21.5703125" style="37" bestFit="1" customWidth="1"/>
    <col min="49" max="49" width="9.85546875" style="37" customWidth="1"/>
    <col min="50" max="50" width="9.28515625" style="37" customWidth="1"/>
    <col min="51" max="51" width="8.42578125" style="37" customWidth="1"/>
    <col min="52" max="52" width="11.85546875" style="37" customWidth="1"/>
    <col min="53" max="53" width="7.7109375" style="37" customWidth="1"/>
    <col min="54" max="54" width="12" style="37" customWidth="1"/>
    <col min="55" max="55" width="14" style="37" customWidth="1"/>
    <col min="56" max="56" width="16.28515625" style="37" customWidth="1"/>
    <col min="57" max="57" width="12.5703125" style="37" bestFit="1" customWidth="1"/>
    <col min="58" max="58" width="13.7109375" style="37" customWidth="1"/>
    <col min="59" max="59" width="16.7109375" style="37" customWidth="1"/>
    <col min="60" max="16384" width="9.140625" style="37"/>
  </cols>
  <sheetData>
    <row r="1" spans="1:6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6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60" x14ac:dyDescent="0.25">
      <c r="A3"/>
      <c r="B3"/>
    </row>
    <row r="4" spans="1:60" x14ac:dyDescent="0.25">
      <c r="A4"/>
      <c r="B4"/>
      <c r="E4" s="39"/>
      <c r="F4" s="39" t="s">
        <v>41</v>
      </c>
      <c r="G4" s="40">
        <v>46204</v>
      </c>
      <c r="H4" s="41">
        <f>DATEDIF($G$4,$K$4,"D")+1</f>
        <v>31</v>
      </c>
      <c r="I4" s="39" t="str">
        <f>TEXT(G4,"MMMM")</f>
        <v>July</v>
      </c>
      <c r="J4" s="39" t="s">
        <v>42</v>
      </c>
      <c r="K4" s="40">
        <f>EOMONTH(G4,0)</f>
        <v>46234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60" ht="15.75" thickBot="1" x14ac:dyDescent="0.3">
      <c r="A5"/>
      <c r="B5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</row>
    <row r="6" spans="1:60" x14ac:dyDescent="0.25">
      <c r="A6"/>
      <c r="B6"/>
      <c r="E6" s="39"/>
      <c r="F6" s="46" t="s">
        <v>44</v>
      </c>
      <c r="G6" s="47"/>
      <c r="H6" s="48"/>
      <c r="I6" s="27" t="s">
        <v>43</v>
      </c>
      <c r="J6" s="28" t="str">
        <f>TEXT(J7,"DDD")</f>
        <v>Wed</v>
      </c>
      <c r="K6" s="28" t="str">
        <f t="shared" ref="K6:AN6" si="0">TEXT(K7,"DDD")</f>
        <v>Thu</v>
      </c>
      <c r="L6" s="28" t="str">
        <f t="shared" si="0"/>
        <v>Fri</v>
      </c>
      <c r="M6" s="28" t="str">
        <f t="shared" si="0"/>
        <v>Sat</v>
      </c>
      <c r="N6" s="28" t="str">
        <f t="shared" si="0"/>
        <v>Sun</v>
      </c>
      <c r="O6" s="28" t="str">
        <f t="shared" si="0"/>
        <v>Mon</v>
      </c>
      <c r="P6" s="28" t="str">
        <f t="shared" si="0"/>
        <v>Tue</v>
      </c>
      <c r="Q6" s="28" t="str">
        <f t="shared" si="0"/>
        <v>Wed</v>
      </c>
      <c r="R6" s="28" t="str">
        <f t="shared" si="0"/>
        <v>Thu</v>
      </c>
      <c r="S6" s="28" t="str">
        <f t="shared" si="0"/>
        <v>Fri</v>
      </c>
      <c r="T6" s="28" t="str">
        <f t="shared" si="0"/>
        <v>Sat</v>
      </c>
      <c r="U6" s="28" t="str">
        <f t="shared" si="0"/>
        <v>Sun</v>
      </c>
      <c r="V6" s="28" t="str">
        <f t="shared" si="0"/>
        <v>Mon</v>
      </c>
      <c r="W6" s="28" t="str">
        <f t="shared" si="0"/>
        <v>Tue</v>
      </c>
      <c r="X6" s="28" t="str">
        <f t="shared" si="0"/>
        <v>Wed</v>
      </c>
      <c r="Y6" s="28" t="str">
        <f t="shared" si="0"/>
        <v>Thu</v>
      </c>
      <c r="Z6" s="28" t="str">
        <f t="shared" si="0"/>
        <v>Fri</v>
      </c>
      <c r="AA6" s="28" t="str">
        <f t="shared" si="0"/>
        <v>Sat</v>
      </c>
      <c r="AB6" s="28" t="str">
        <f t="shared" si="0"/>
        <v>Sun</v>
      </c>
      <c r="AC6" s="28" t="str">
        <f t="shared" si="0"/>
        <v>Mon</v>
      </c>
      <c r="AD6" s="28" t="str">
        <f t="shared" si="0"/>
        <v>Tue</v>
      </c>
      <c r="AE6" s="28" t="str">
        <f t="shared" si="0"/>
        <v>Wed</v>
      </c>
      <c r="AF6" s="28" t="str">
        <f t="shared" si="0"/>
        <v>Thu</v>
      </c>
      <c r="AG6" s="28" t="str">
        <f t="shared" si="0"/>
        <v>Fri</v>
      </c>
      <c r="AH6" s="28" t="str">
        <f t="shared" si="0"/>
        <v>Sat</v>
      </c>
      <c r="AI6" s="28" t="str">
        <f t="shared" si="0"/>
        <v>Sun</v>
      </c>
      <c r="AJ6" s="28" t="str">
        <f t="shared" si="0"/>
        <v>Mon</v>
      </c>
      <c r="AK6" s="28" t="str">
        <f t="shared" si="0"/>
        <v>Tue</v>
      </c>
      <c r="AL6" s="28" t="str">
        <f t="shared" si="0"/>
        <v>Wed</v>
      </c>
      <c r="AM6" s="28" t="str">
        <f t="shared" si="0"/>
        <v>Thu</v>
      </c>
      <c r="AN6" s="29" t="str">
        <f t="shared" si="0"/>
        <v>Fri</v>
      </c>
      <c r="AO6" s="42" t="str">
        <f>IF(AN7 &lt; $K$4,AN7+1,"")</f>
        <v/>
      </c>
      <c r="AP6" s="38"/>
      <c r="AQ6" s="38"/>
      <c r="AR6" s="44"/>
      <c r="AS6" s="44"/>
      <c r="AT6" s="44"/>
      <c r="AU6" s="44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</row>
    <row r="7" spans="1:60" ht="15.75" thickBot="1" x14ac:dyDescent="0.3">
      <c r="A7"/>
      <c r="B7"/>
      <c r="E7" s="39"/>
      <c r="F7" s="30" t="s">
        <v>37</v>
      </c>
      <c r="G7" s="12" t="s">
        <v>38</v>
      </c>
      <c r="H7" s="13" t="s">
        <v>39</v>
      </c>
      <c r="I7" s="16" t="s">
        <v>40</v>
      </c>
      <c r="J7" s="17">
        <f>G4</f>
        <v>46204</v>
      </c>
      <c r="K7" s="17">
        <f t="shared" ref="K7:AN7" si="1">IF(J7 &lt; $K$4,J7+1,"")</f>
        <v>46205</v>
      </c>
      <c r="L7" s="17">
        <f t="shared" si="1"/>
        <v>46206</v>
      </c>
      <c r="M7" s="17">
        <f t="shared" si="1"/>
        <v>46207</v>
      </c>
      <c r="N7" s="17">
        <f t="shared" si="1"/>
        <v>46208</v>
      </c>
      <c r="O7" s="17">
        <f t="shared" si="1"/>
        <v>46209</v>
      </c>
      <c r="P7" s="17">
        <f t="shared" si="1"/>
        <v>46210</v>
      </c>
      <c r="Q7" s="17">
        <f t="shared" si="1"/>
        <v>46211</v>
      </c>
      <c r="R7" s="17">
        <f t="shared" si="1"/>
        <v>46212</v>
      </c>
      <c r="S7" s="17">
        <f t="shared" si="1"/>
        <v>46213</v>
      </c>
      <c r="T7" s="17">
        <f t="shared" si="1"/>
        <v>46214</v>
      </c>
      <c r="U7" s="17">
        <f t="shared" si="1"/>
        <v>46215</v>
      </c>
      <c r="V7" s="17">
        <f t="shared" si="1"/>
        <v>46216</v>
      </c>
      <c r="W7" s="17">
        <f t="shared" si="1"/>
        <v>46217</v>
      </c>
      <c r="X7" s="17">
        <f t="shared" si="1"/>
        <v>46218</v>
      </c>
      <c r="Y7" s="17">
        <f t="shared" si="1"/>
        <v>46219</v>
      </c>
      <c r="Z7" s="17">
        <f t="shared" si="1"/>
        <v>46220</v>
      </c>
      <c r="AA7" s="17">
        <f t="shared" si="1"/>
        <v>46221</v>
      </c>
      <c r="AB7" s="17">
        <f t="shared" si="1"/>
        <v>46222</v>
      </c>
      <c r="AC7" s="17">
        <f t="shared" si="1"/>
        <v>46223</v>
      </c>
      <c r="AD7" s="17">
        <f t="shared" si="1"/>
        <v>46224</v>
      </c>
      <c r="AE7" s="17">
        <f t="shared" si="1"/>
        <v>46225</v>
      </c>
      <c r="AF7" s="17">
        <f t="shared" si="1"/>
        <v>46226</v>
      </c>
      <c r="AG7" s="17">
        <f t="shared" si="1"/>
        <v>46227</v>
      </c>
      <c r="AH7" s="17">
        <f t="shared" si="1"/>
        <v>46228</v>
      </c>
      <c r="AI7" s="17">
        <f t="shared" si="1"/>
        <v>46229</v>
      </c>
      <c r="AJ7" s="17">
        <f t="shared" si="1"/>
        <v>46230</v>
      </c>
      <c r="AK7" s="17">
        <f t="shared" si="1"/>
        <v>46231</v>
      </c>
      <c r="AL7" s="17">
        <f t="shared" si="1"/>
        <v>46232</v>
      </c>
      <c r="AM7" s="17">
        <f t="shared" si="1"/>
        <v>46233</v>
      </c>
      <c r="AN7" s="31">
        <f t="shared" si="1"/>
        <v>46234</v>
      </c>
      <c r="AO7" s="39"/>
      <c r="AR7" s="43"/>
      <c r="AS7" s="18" t="s">
        <v>37</v>
      </c>
      <c r="AT7" s="18" t="s">
        <v>38</v>
      </c>
      <c r="AU7" s="18" t="s">
        <v>56</v>
      </c>
      <c r="AV7" s="19" t="s">
        <v>39</v>
      </c>
      <c r="AW7" s="18" t="s">
        <v>45</v>
      </c>
      <c r="AX7" s="18" t="s">
        <v>46</v>
      </c>
      <c r="AY7" s="18" t="s">
        <v>47</v>
      </c>
      <c r="AZ7" s="18" t="s">
        <v>48</v>
      </c>
      <c r="BA7" s="18" t="s">
        <v>49</v>
      </c>
      <c r="BB7" s="18" t="s">
        <v>50</v>
      </c>
      <c r="BC7" s="18" t="s">
        <v>51</v>
      </c>
      <c r="BD7" s="18" t="s">
        <v>52</v>
      </c>
      <c r="BE7" s="18" t="s">
        <v>53</v>
      </c>
      <c r="BF7" s="20" t="s">
        <v>54</v>
      </c>
      <c r="BG7" s="18" t="s">
        <v>55</v>
      </c>
      <c r="BH7" s="43"/>
    </row>
    <row r="8" spans="1:60" x14ac:dyDescent="0.25">
      <c r="A8"/>
      <c r="B8"/>
      <c r="E8" s="39"/>
      <c r="F8" s="24">
        <v>1</v>
      </c>
      <c r="G8" s="14" t="s">
        <v>20</v>
      </c>
      <c r="H8" s="10" t="s">
        <v>3</v>
      </c>
      <c r="I8" s="15">
        <f>COUNTIF($J$6:$AN$6,"sun")</f>
        <v>4</v>
      </c>
      <c r="J8" s="14" t="s">
        <v>57</v>
      </c>
      <c r="K8" s="14" t="s">
        <v>57</v>
      </c>
      <c r="L8" s="14" t="s">
        <v>57</v>
      </c>
      <c r="M8" s="14" t="s">
        <v>57</v>
      </c>
      <c r="N8" s="14" t="str">
        <f t="shared" ref="K8:AN16" si="2">IF(N$6 = "sun","WO","")</f>
        <v>WO</v>
      </c>
      <c r="O8" s="14" t="s">
        <v>57</v>
      </c>
      <c r="P8" s="14" t="s">
        <v>57</v>
      </c>
      <c r="Q8" s="14" t="s">
        <v>57</v>
      </c>
      <c r="R8" s="14" t="s">
        <v>57</v>
      </c>
      <c r="S8" s="14" t="s">
        <v>57</v>
      </c>
      <c r="T8" s="14" t="s">
        <v>57</v>
      </c>
      <c r="U8" s="14" t="str">
        <f t="shared" si="2"/>
        <v>WO</v>
      </c>
      <c r="V8" s="14" t="s">
        <v>57</v>
      </c>
      <c r="W8" s="14" t="s">
        <v>57</v>
      </c>
      <c r="X8" s="14" t="s">
        <v>57</v>
      </c>
      <c r="Y8" s="14" t="s">
        <v>57</v>
      </c>
      <c r="Z8" s="14" t="s">
        <v>57</v>
      </c>
      <c r="AA8" s="14" t="s">
        <v>57</v>
      </c>
      <c r="AB8" s="14" t="str">
        <f t="shared" si="2"/>
        <v>WO</v>
      </c>
      <c r="AC8" s="14" t="s">
        <v>57</v>
      </c>
      <c r="AD8" s="14" t="s">
        <v>57</v>
      </c>
      <c r="AE8" s="14" t="s">
        <v>57</v>
      </c>
      <c r="AF8" s="14" t="s">
        <v>57</v>
      </c>
      <c r="AG8" s="14" t="s">
        <v>57</v>
      </c>
      <c r="AH8" s="14" t="s">
        <v>57</v>
      </c>
      <c r="AI8" s="14" t="str">
        <f t="shared" si="2"/>
        <v>WO</v>
      </c>
      <c r="AJ8" s="14" t="s">
        <v>57</v>
      </c>
      <c r="AK8" s="14" t="s">
        <v>57</v>
      </c>
      <c r="AL8" s="14" t="s">
        <v>57</v>
      </c>
      <c r="AM8" s="14" t="s">
        <v>57</v>
      </c>
      <c r="AN8" s="32" t="s">
        <v>57</v>
      </c>
      <c r="AO8" s="39"/>
      <c r="AR8" s="43"/>
      <c r="AS8" s="22">
        <v>1</v>
      </c>
      <c r="AT8" s="14" t="s">
        <v>20</v>
      </c>
      <c r="AU8" s="14" t="str">
        <f t="shared" ref="AU8:AU24" si="3">$I$4</f>
        <v>July</v>
      </c>
      <c r="AV8" s="10" t="s">
        <v>3</v>
      </c>
      <c r="AW8" s="22">
        <f t="shared" ref="AW8:AW24" si="4">COUNTIF($J8:$AN8,"P")</f>
        <v>27</v>
      </c>
      <c r="AX8" s="22">
        <f t="shared" ref="AX8:AX24" si="5">COUNTIF($J8:$AN8,"A")</f>
        <v>0</v>
      </c>
      <c r="AY8" s="22">
        <f t="shared" ref="AY8:AY24" si="6">COUNTIF($J8:$AN8,"L")</f>
        <v>0</v>
      </c>
      <c r="AZ8" s="22">
        <f t="shared" ref="AZ8:AZ24" si="7">$I$8</f>
        <v>4</v>
      </c>
      <c r="BA8" s="22">
        <f t="shared" ref="BA8:BA24" si="8">$H$4</f>
        <v>31</v>
      </c>
      <c r="BB8" s="22">
        <f>JanMonthlyReport9[[#This Row],[Days]]-JanMonthlyReport9[[#This Row],[Absent]]</f>
        <v>31</v>
      </c>
      <c r="BC8" s="23">
        <v>100000</v>
      </c>
      <c r="BD8" s="23">
        <f>JanMonthlyReport9[[#This Row],[Basic Salary]]/JanMonthlyReport9[[#This Row],[Days]]</f>
        <v>3225.8064516129034</v>
      </c>
      <c r="BE8" s="23">
        <f>JanMonthlyReport9[[#This Row],[Per Day Salary]]*JanMonthlyReport9[[#This Row],[Absent]]</f>
        <v>0</v>
      </c>
      <c r="BF8" s="26">
        <f>JanMonthlyReport9[[#This Row],[Basic Salary]]-JanMonthlyReport9[[#This Row],[Deduction]]</f>
        <v>100000</v>
      </c>
      <c r="BG8" s="21"/>
      <c r="BH8" s="43"/>
    </row>
    <row r="9" spans="1:60" x14ac:dyDescent="0.25">
      <c r="A9"/>
      <c r="B9"/>
      <c r="E9" s="39"/>
      <c r="F9" s="24">
        <v>2</v>
      </c>
      <c r="G9" s="14" t="s">
        <v>21</v>
      </c>
      <c r="H9" s="10" t="s">
        <v>4</v>
      </c>
      <c r="I9" s="15">
        <f t="shared" ref="I9:I24" si="9">COUNTIF($J$6:$AN$6,"sun")</f>
        <v>4</v>
      </c>
      <c r="J9" s="14" t="s">
        <v>57</v>
      </c>
      <c r="K9" s="14" t="s">
        <v>57</v>
      </c>
      <c r="L9" s="14" t="s">
        <v>57</v>
      </c>
      <c r="M9" s="14" t="s">
        <v>57</v>
      </c>
      <c r="N9" s="14" t="str">
        <f t="shared" si="2"/>
        <v>WO</v>
      </c>
      <c r="O9" s="14" t="s">
        <v>57</v>
      </c>
      <c r="P9" s="14" t="s">
        <v>57</v>
      </c>
      <c r="Q9" s="14" t="s">
        <v>57</v>
      </c>
      <c r="R9" s="14" t="s">
        <v>57</v>
      </c>
      <c r="S9" s="14" t="s">
        <v>57</v>
      </c>
      <c r="T9" s="14" t="s">
        <v>57</v>
      </c>
      <c r="U9" s="14" t="str">
        <f t="shared" si="2"/>
        <v>WO</v>
      </c>
      <c r="V9" s="14" t="s">
        <v>57</v>
      </c>
      <c r="W9" s="14" t="s">
        <v>57</v>
      </c>
      <c r="X9" s="14" t="s">
        <v>57</v>
      </c>
      <c r="Y9" s="14" t="s">
        <v>57</v>
      </c>
      <c r="Z9" s="14" t="s">
        <v>57</v>
      </c>
      <c r="AA9" s="14" t="s">
        <v>57</v>
      </c>
      <c r="AB9" s="14" t="str">
        <f t="shared" si="2"/>
        <v>WO</v>
      </c>
      <c r="AC9" s="14" t="s">
        <v>57</v>
      </c>
      <c r="AD9" s="14" t="s">
        <v>57</v>
      </c>
      <c r="AE9" s="14" t="s">
        <v>57</v>
      </c>
      <c r="AF9" s="14" t="s">
        <v>57</v>
      </c>
      <c r="AG9" s="14" t="s">
        <v>57</v>
      </c>
      <c r="AH9" s="14" t="s">
        <v>57</v>
      </c>
      <c r="AI9" s="14" t="str">
        <f t="shared" si="2"/>
        <v>WO</v>
      </c>
      <c r="AJ9" s="14" t="s">
        <v>57</v>
      </c>
      <c r="AK9" s="14" t="s">
        <v>57</v>
      </c>
      <c r="AL9" s="14" t="s">
        <v>57</v>
      </c>
      <c r="AM9" s="14" t="s">
        <v>57</v>
      </c>
      <c r="AN9" s="32" t="s">
        <v>57</v>
      </c>
      <c r="AO9" s="39"/>
      <c r="AR9" s="43"/>
      <c r="AS9" s="22">
        <v>2</v>
      </c>
      <c r="AT9" s="14" t="s">
        <v>21</v>
      </c>
      <c r="AU9" s="14" t="str">
        <f t="shared" si="3"/>
        <v>July</v>
      </c>
      <c r="AV9" s="10" t="s">
        <v>4</v>
      </c>
      <c r="AW9" s="22">
        <f t="shared" si="4"/>
        <v>27</v>
      </c>
      <c r="AX9" s="22">
        <f t="shared" si="5"/>
        <v>0</v>
      </c>
      <c r="AY9" s="22">
        <f t="shared" si="6"/>
        <v>0</v>
      </c>
      <c r="AZ9" s="22">
        <f t="shared" si="7"/>
        <v>4</v>
      </c>
      <c r="BA9" s="22">
        <f t="shared" si="8"/>
        <v>31</v>
      </c>
      <c r="BB9" s="22">
        <f>JanMonthlyReport9[[#This Row],[Days]]-JanMonthlyReport9[[#This Row],[Absent]]</f>
        <v>31</v>
      </c>
      <c r="BC9" s="23">
        <v>70000</v>
      </c>
      <c r="BD9" s="23">
        <f>JanMonthlyReport9[[#This Row],[Basic Salary]]/JanMonthlyReport9[[#This Row],[Days]]</f>
        <v>2258.0645161290322</v>
      </c>
      <c r="BE9" s="23">
        <f>JanMonthlyReport9[[#This Row],[Per Day Salary]]*JanMonthlyReport9[[#This Row],[Absent]]</f>
        <v>0</v>
      </c>
      <c r="BF9" s="26">
        <f>JanMonthlyReport9[[#This Row],[Basic Salary]]-JanMonthlyReport9[[#This Row],[Deduction]]</f>
        <v>70000</v>
      </c>
      <c r="BG9" s="21"/>
      <c r="BH9" s="43"/>
    </row>
    <row r="10" spans="1:60" x14ac:dyDescent="0.25">
      <c r="A10"/>
      <c r="B10"/>
      <c r="E10" s="39"/>
      <c r="F10" s="24">
        <v>3</v>
      </c>
      <c r="G10" s="14" t="s">
        <v>22</v>
      </c>
      <c r="H10" s="10" t="s">
        <v>5</v>
      </c>
      <c r="I10" s="15">
        <f t="shared" si="9"/>
        <v>4</v>
      </c>
      <c r="J10" s="14" t="s">
        <v>57</v>
      </c>
      <c r="K10" s="14" t="s">
        <v>57</v>
      </c>
      <c r="L10" s="14" t="s">
        <v>57</v>
      </c>
      <c r="M10" s="14" t="s">
        <v>57</v>
      </c>
      <c r="N10" s="14" t="str">
        <f t="shared" si="2"/>
        <v>WO</v>
      </c>
      <c r="O10" s="14" t="s">
        <v>57</v>
      </c>
      <c r="P10" s="14" t="s">
        <v>57</v>
      </c>
      <c r="Q10" s="14" t="s">
        <v>57</v>
      </c>
      <c r="R10" s="14" t="s">
        <v>57</v>
      </c>
      <c r="S10" s="14" t="s">
        <v>57</v>
      </c>
      <c r="T10" s="14" t="s">
        <v>57</v>
      </c>
      <c r="U10" s="14" t="str">
        <f t="shared" si="2"/>
        <v>WO</v>
      </c>
      <c r="V10" s="14" t="s">
        <v>57</v>
      </c>
      <c r="W10" s="14" t="s">
        <v>57</v>
      </c>
      <c r="X10" s="14" t="s">
        <v>57</v>
      </c>
      <c r="Y10" s="14" t="s">
        <v>57</v>
      </c>
      <c r="Z10" s="14" t="s">
        <v>57</v>
      </c>
      <c r="AA10" s="14" t="s">
        <v>57</v>
      </c>
      <c r="AB10" s="14" t="str">
        <f t="shared" si="2"/>
        <v>WO</v>
      </c>
      <c r="AC10" s="14" t="s">
        <v>57</v>
      </c>
      <c r="AD10" s="14" t="s">
        <v>57</v>
      </c>
      <c r="AE10" s="14" t="s">
        <v>57</v>
      </c>
      <c r="AF10" s="14" t="s">
        <v>57</v>
      </c>
      <c r="AG10" s="14" t="s">
        <v>57</v>
      </c>
      <c r="AH10" s="14" t="s">
        <v>57</v>
      </c>
      <c r="AI10" s="14" t="str">
        <f t="shared" si="2"/>
        <v>WO</v>
      </c>
      <c r="AJ10" s="14" t="s">
        <v>57</v>
      </c>
      <c r="AK10" s="14" t="s">
        <v>57</v>
      </c>
      <c r="AL10" s="14" t="s">
        <v>57</v>
      </c>
      <c r="AM10" s="14" t="s">
        <v>57</v>
      </c>
      <c r="AN10" s="32" t="s">
        <v>57</v>
      </c>
      <c r="AO10" s="39"/>
      <c r="AR10" s="43"/>
      <c r="AS10" s="22">
        <v>3</v>
      </c>
      <c r="AT10" s="14" t="s">
        <v>22</v>
      </c>
      <c r="AU10" s="14" t="str">
        <f t="shared" si="3"/>
        <v>July</v>
      </c>
      <c r="AV10" s="10" t="s">
        <v>5</v>
      </c>
      <c r="AW10" s="22">
        <f t="shared" si="4"/>
        <v>27</v>
      </c>
      <c r="AX10" s="22">
        <f t="shared" si="5"/>
        <v>0</v>
      </c>
      <c r="AY10" s="22">
        <f t="shared" si="6"/>
        <v>0</v>
      </c>
      <c r="AZ10" s="22">
        <f t="shared" si="7"/>
        <v>4</v>
      </c>
      <c r="BA10" s="22">
        <f t="shared" si="8"/>
        <v>31</v>
      </c>
      <c r="BB10" s="22">
        <f>JanMonthlyReport9[[#This Row],[Days]]-JanMonthlyReport9[[#This Row],[Absent]]</f>
        <v>31</v>
      </c>
      <c r="BC10" s="23">
        <v>80000</v>
      </c>
      <c r="BD10" s="23">
        <f>JanMonthlyReport9[[#This Row],[Basic Salary]]/JanMonthlyReport9[[#This Row],[Days]]</f>
        <v>2580.6451612903224</v>
      </c>
      <c r="BE10" s="23">
        <f>JanMonthlyReport9[[#This Row],[Per Day Salary]]*JanMonthlyReport9[[#This Row],[Absent]]</f>
        <v>0</v>
      </c>
      <c r="BF10" s="26">
        <f>JanMonthlyReport9[[#This Row],[Basic Salary]]-JanMonthlyReport9[[#This Row],[Deduction]]</f>
        <v>80000</v>
      </c>
      <c r="BG10" s="21"/>
      <c r="BH10" s="43"/>
    </row>
    <row r="11" spans="1:60" x14ac:dyDescent="0.25">
      <c r="A11"/>
      <c r="B11"/>
      <c r="E11" s="39"/>
      <c r="F11" s="24">
        <v>4</v>
      </c>
      <c r="G11" s="14" t="s">
        <v>23</v>
      </c>
      <c r="H11" s="10" t="s">
        <v>6</v>
      </c>
      <c r="I11" s="15">
        <f t="shared" si="9"/>
        <v>4</v>
      </c>
      <c r="J11" s="14" t="s">
        <v>57</v>
      </c>
      <c r="K11" s="14" t="s">
        <v>57</v>
      </c>
      <c r="L11" s="14" t="s">
        <v>57</v>
      </c>
      <c r="M11" s="14" t="s">
        <v>57</v>
      </c>
      <c r="N11" s="14" t="str">
        <f t="shared" si="2"/>
        <v>WO</v>
      </c>
      <c r="O11" s="14" t="s">
        <v>57</v>
      </c>
      <c r="P11" s="14" t="s">
        <v>57</v>
      </c>
      <c r="Q11" s="14" t="s">
        <v>57</v>
      </c>
      <c r="R11" s="14" t="s">
        <v>57</v>
      </c>
      <c r="S11" s="14" t="s">
        <v>57</v>
      </c>
      <c r="T11" s="14" t="s">
        <v>57</v>
      </c>
      <c r="U11" s="14" t="str">
        <f t="shared" si="2"/>
        <v>WO</v>
      </c>
      <c r="V11" s="14" t="s">
        <v>57</v>
      </c>
      <c r="W11" s="14" t="s">
        <v>57</v>
      </c>
      <c r="X11" s="14" t="s">
        <v>57</v>
      </c>
      <c r="Y11" s="14" t="s">
        <v>57</v>
      </c>
      <c r="Z11" s="14" t="s">
        <v>57</v>
      </c>
      <c r="AA11" s="14" t="s">
        <v>57</v>
      </c>
      <c r="AB11" s="14" t="str">
        <f t="shared" si="2"/>
        <v>WO</v>
      </c>
      <c r="AC11" s="14" t="s">
        <v>57</v>
      </c>
      <c r="AD11" s="14" t="s">
        <v>57</v>
      </c>
      <c r="AE11" s="14" t="s">
        <v>57</v>
      </c>
      <c r="AF11" s="14" t="s">
        <v>57</v>
      </c>
      <c r="AG11" s="14" t="s">
        <v>57</v>
      </c>
      <c r="AH11" s="14" t="s">
        <v>57</v>
      </c>
      <c r="AI11" s="14" t="str">
        <f t="shared" si="2"/>
        <v>WO</v>
      </c>
      <c r="AJ11" s="14" t="s">
        <v>57</v>
      </c>
      <c r="AK11" s="14" t="s">
        <v>57</v>
      </c>
      <c r="AL11" s="14" t="s">
        <v>57</v>
      </c>
      <c r="AM11" s="14" t="s">
        <v>59</v>
      </c>
      <c r="AN11" s="32" t="s">
        <v>57</v>
      </c>
      <c r="AO11" s="39"/>
      <c r="AR11" s="43"/>
      <c r="AS11" s="22">
        <v>4</v>
      </c>
      <c r="AT11" s="14" t="s">
        <v>23</v>
      </c>
      <c r="AU11" s="14" t="str">
        <f t="shared" si="3"/>
        <v>July</v>
      </c>
      <c r="AV11" s="10" t="s">
        <v>6</v>
      </c>
      <c r="AW11" s="22">
        <f t="shared" si="4"/>
        <v>26</v>
      </c>
      <c r="AX11" s="22">
        <f t="shared" si="5"/>
        <v>1</v>
      </c>
      <c r="AY11" s="22">
        <f t="shared" si="6"/>
        <v>0</v>
      </c>
      <c r="AZ11" s="22">
        <f t="shared" si="7"/>
        <v>4</v>
      </c>
      <c r="BA11" s="22">
        <f t="shared" si="8"/>
        <v>31</v>
      </c>
      <c r="BB11" s="22">
        <f>JanMonthlyReport9[[#This Row],[Days]]-JanMonthlyReport9[[#This Row],[Absent]]</f>
        <v>30</v>
      </c>
      <c r="BC11" s="23">
        <v>75000</v>
      </c>
      <c r="BD11" s="23">
        <f>JanMonthlyReport9[[#This Row],[Basic Salary]]/JanMonthlyReport9[[#This Row],[Days]]</f>
        <v>2419.3548387096776</v>
      </c>
      <c r="BE11" s="23">
        <f>JanMonthlyReport9[[#This Row],[Per Day Salary]]*JanMonthlyReport9[[#This Row],[Absent]]</f>
        <v>2419.3548387096776</v>
      </c>
      <c r="BF11" s="26">
        <f>JanMonthlyReport9[[#This Row],[Basic Salary]]-JanMonthlyReport9[[#This Row],[Deduction]]</f>
        <v>72580.645161290318</v>
      </c>
      <c r="BG11" s="21"/>
      <c r="BH11" s="43"/>
    </row>
    <row r="12" spans="1:60" x14ac:dyDescent="0.25">
      <c r="A12"/>
      <c r="B12"/>
      <c r="E12" s="39"/>
      <c r="F12" s="24">
        <v>5</v>
      </c>
      <c r="G12" s="14" t="s">
        <v>24</v>
      </c>
      <c r="H12" s="10" t="s">
        <v>7</v>
      </c>
      <c r="I12" s="15">
        <f t="shared" si="9"/>
        <v>4</v>
      </c>
      <c r="J12" s="14" t="s">
        <v>57</v>
      </c>
      <c r="K12" s="14" t="s">
        <v>57</v>
      </c>
      <c r="L12" s="14" t="s">
        <v>57</v>
      </c>
      <c r="M12" s="14" t="s">
        <v>57</v>
      </c>
      <c r="N12" s="14" t="str">
        <f t="shared" si="2"/>
        <v>WO</v>
      </c>
      <c r="O12" s="14" t="s">
        <v>57</v>
      </c>
      <c r="P12" s="14" t="s">
        <v>57</v>
      </c>
      <c r="Q12" s="14" t="s">
        <v>57</v>
      </c>
      <c r="R12" s="14" t="s">
        <v>57</v>
      </c>
      <c r="S12" s="14" t="s">
        <v>57</v>
      </c>
      <c r="T12" s="14" t="s">
        <v>57</v>
      </c>
      <c r="U12" s="14" t="str">
        <f t="shared" si="2"/>
        <v>WO</v>
      </c>
      <c r="V12" s="14" t="s">
        <v>57</v>
      </c>
      <c r="W12" s="14" t="s">
        <v>57</v>
      </c>
      <c r="X12" s="14" t="s">
        <v>57</v>
      </c>
      <c r="Y12" s="14" t="s">
        <v>57</v>
      </c>
      <c r="Z12" s="14" t="s">
        <v>57</v>
      </c>
      <c r="AA12" s="14" t="s">
        <v>57</v>
      </c>
      <c r="AB12" s="14" t="str">
        <f t="shared" si="2"/>
        <v>WO</v>
      </c>
      <c r="AC12" s="14" t="s">
        <v>57</v>
      </c>
      <c r="AD12" s="14" t="s">
        <v>57</v>
      </c>
      <c r="AE12" s="14" t="s">
        <v>57</v>
      </c>
      <c r="AF12" s="14" t="s">
        <v>57</v>
      </c>
      <c r="AG12" s="14" t="s">
        <v>57</v>
      </c>
      <c r="AH12" s="14" t="s">
        <v>57</v>
      </c>
      <c r="AI12" s="14" t="str">
        <f t="shared" si="2"/>
        <v>WO</v>
      </c>
      <c r="AJ12" s="14" t="s">
        <v>57</v>
      </c>
      <c r="AK12" s="14" t="s">
        <v>57</v>
      </c>
      <c r="AL12" s="14" t="s">
        <v>57</v>
      </c>
      <c r="AM12" s="14" t="s">
        <v>57</v>
      </c>
      <c r="AN12" s="32" t="s">
        <v>57</v>
      </c>
      <c r="AO12" s="39"/>
      <c r="AR12" s="43"/>
      <c r="AS12" s="22">
        <v>5</v>
      </c>
      <c r="AT12" s="14" t="s">
        <v>24</v>
      </c>
      <c r="AU12" s="14" t="str">
        <f t="shared" si="3"/>
        <v>July</v>
      </c>
      <c r="AV12" s="10" t="s">
        <v>7</v>
      </c>
      <c r="AW12" s="22">
        <f t="shared" si="4"/>
        <v>27</v>
      </c>
      <c r="AX12" s="22">
        <f t="shared" si="5"/>
        <v>0</v>
      </c>
      <c r="AY12" s="22">
        <f t="shared" si="6"/>
        <v>0</v>
      </c>
      <c r="AZ12" s="22">
        <f t="shared" si="7"/>
        <v>4</v>
      </c>
      <c r="BA12" s="22">
        <f t="shared" si="8"/>
        <v>31</v>
      </c>
      <c r="BB12" s="22">
        <f>JanMonthlyReport9[[#This Row],[Days]]-JanMonthlyReport9[[#This Row],[Absent]]</f>
        <v>31</v>
      </c>
      <c r="BC12" s="23">
        <v>16000</v>
      </c>
      <c r="BD12" s="23">
        <f>JanMonthlyReport9[[#This Row],[Basic Salary]]/JanMonthlyReport9[[#This Row],[Days]]</f>
        <v>516.12903225806451</v>
      </c>
      <c r="BE12" s="23">
        <f>JanMonthlyReport9[[#This Row],[Per Day Salary]]*JanMonthlyReport9[[#This Row],[Absent]]</f>
        <v>0</v>
      </c>
      <c r="BF12" s="26">
        <f>JanMonthlyReport9[[#This Row],[Basic Salary]]-JanMonthlyReport9[[#This Row],[Deduction]]</f>
        <v>16000</v>
      </c>
      <c r="BG12" s="21"/>
      <c r="BH12" s="43"/>
    </row>
    <row r="13" spans="1:60" x14ac:dyDescent="0.25">
      <c r="A13"/>
      <c r="B13"/>
      <c r="E13" s="39"/>
      <c r="F13" s="24">
        <v>6</v>
      </c>
      <c r="G13" s="14" t="s">
        <v>25</v>
      </c>
      <c r="H13" s="10" t="s">
        <v>8</v>
      </c>
      <c r="I13" s="15">
        <f t="shared" si="9"/>
        <v>4</v>
      </c>
      <c r="J13" s="14" t="s">
        <v>57</v>
      </c>
      <c r="K13" s="14" t="s">
        <v>57</v>
      </c>
      <c r="L13" s="14" t="s">
        <v>57</v>
      </c>
      <c r="M13" s="14" t="s">
        <v>57</v>
      </c>
      <c r="N13" s="14" t="str">
        <f t="shared" si="2"/>
        <v>WO</v>
      </c>
      <c r="O13" s="14" t="s">
        <v>57</v>
      </c>
      <c r="P13" s="14" t="s">
        <v>57</v>
      </c>
      <c r="Q13" s="14" t="s">
        <v>57</v>
      </c>
      <c r="R13" s="14" t="s">
        <v>57</v>
      </c>
      <c r="S13" s="14" t="s">
        <v>57</v>
      </c>
      <c r="T13" s="14" t="s">
        <v>57</v>
      </c>
      <c r="U13" s="14" t="str">
        <f t="shared" si="2"/>
        <v>WO</v>
      </c>
      <c r="V13" s="14" t="s">
        <v>57</v>
      </c>
      <c r="W13" s="14" t="s">
        <v>57</v>
      </c>
      <c r="X13" s="14" t="s">
        <v>57</v>
      </c>
      <c r="Y13" s="14" t="s">
        <v>57</v>
      </c>
      <c r="Z13" s="14" t="s">
        <v>57</v>
      </c>
      <c r="AA13" s="14" t="s">
        <v>57</v>
      </c>
      <c r="AB13" s="14" t="str">
        <f t="shared" si="2"/>
        <v>WO</v>
      </c>
      <c r="AC13" s="14" t="s">
        <v>57</v>
      </c>
      <c r="AD13" s="14" t="s">
        <v>57</v>
      </c>
      <c r="AE13" s="14" t="s">
        <v>57</v>
      </c>
      <c r="AF13" s="14" t="s">
        <v>57</v>
      </c>
      <c r="AG13" s="14" t="s">
        <v>57</v>
      </c>
      <c r="AH13" s="14" t="s">
        <v>57</v>
      </c>
      <c r="AI13" s="14" t="str">
        <f t="shared" si="2"/>
        <v>WO</v>
      </c>
      <c r="AJ13" s="14" t="s">
        <v>57</v>
      </c>
      <c r="AK13" s="14" t="s">
        <v>57</v>
      </c>
      <c r="AL13" s="14" t="s">
        <v>57</v>
      </c>
      <c r="AM13" s="14" t="s">
        <v>57</v>
      </c>
      <c r="AN13" s="32" t="s">
        <v>57</v>
      </c>
      <c r="AO13" s="39"/>
      <c r="AR13" s="43"/>
      <c r="AS13" s="22">
        <v>6</v>
      </c>
      <c r="AT13" s="14" t="s">
        <v>25</v>
      </c>
      <c r="AU13" s="14" t="str">
        <f t="shared" si="3"/>
        <v>July</v>
      </c>
      <c r="AV13" s="10" t="s">
        <v>8</v>
      </c>
      <c r="AW13" s="22">
        <f t="shared" si="4"/>
        <v>27</v>
      </c>
      <c r="AX13" s="22">
        <f t="shared" si="5"/>
        <v>0</v>
      </c>
      <c r="AY13" s="22">
        <f t="shared" si="6"/>
        <v>0</v>
      </c>
      <c r="AZ13" s="22">
        <f t="shared" si="7"/>
        <v>4</v>
      </c>
      <c r="BA13" s="22">
        <f t="shared" si="8"/>
        <v>31</v>
      </c>
      <c r="BB13" s="22">
        <f>JanMonthlyReport9[[#This Row],[Days]]-JanMonthlyReport9[[#This Row],[Absent]]</f>
        <v>31</v>
      </c>
      <c r="BC13" s="23">
        <v>12000</v>
      </c>
      <c r="BD13" s="23">
        <f>JanMonthlyReport9[[#This Row],[Basic Salary]]/JanMonthlyReport9[[#This Row],[Days]]</f>
        <v>387.09677419354841</v>
      </c>
      <c r="BE13" s="23">
        <f>JanMonthlyReport9[[#This Row],[Per Day Salary]]*JanMonthlyReport9[[#This Row],[Absent]]</f>
        <v>0</v>
      </c>
      <c r="BF13" s="26">
        <f>JanMonthlyReport9[[#This Row],[Basic Salary]]-JanMonthlyReport9[[#This Row],[Deduction]]</f>
        <v>12000</v>
      </c>
      <c r="BG13" s="21"/>
      <c r="BH13" s="43"/>
    </row>
    <row r="14" spans="1:60" x14ac:dyDescent="0.25">
      <c r="A14"/>
      <c r="B14"/>
      <c r="E14" s="39"/>
      <c r="F14" s="24">
        <v>7</v>
      </c>
      <c r="G14" s="14" t="s">
        <v>26</v>
      </c>
      <c r="H14" s="10" t="s">
        <v>9</v>
      </c>
      <c r="I14" s="15">
        <f t="shared" si="9"/>
        <v>4</v>
      </c>
      <c r="J14" s="14" t="s">
        <v>57</v>
      </c>
      <c r="K14" s="14" t="s">
        <v>57</v>
      </c>
      <c r="L14" s="14" t="s">
        <v>57</v>
      </c>
      <c r="M14" s="14" t="s">
        <v>57</v>
      </c>
      <c r="N14" s="14" t="str">
        <f t="shared" si="2"/>
        <v>WO</v>
      </c>
      <c r="O14" s="14" t="s">
        <v>57</v>
      </c>
      <c r="P14" s="14" t="s">
        <v>57</v>
      </c>
      <c r="Q14" s="14" t="s">
        <v>57</v>
      </c>
      <c r="R14" s="14" t="s">
        <v>57</v>
      </c>
      <c r="S14" s="14" t="s">
        <v>57</v>
      </c>
      <c r="T14" s="14" t="s">
        <v>57</v>
      </c>
      <c r="U14" s="14" t="str">
        <f t="shared" si="2"/>
        <v>WO</v>
      </c>
      <c r="V14" s="14" t="s">
        <v>57</v>
      </c>
      <c r="W14" s="14" t="s">
        <v>57</v>
      </c>
      <c r="X14" s="14" t="s">
        <v>57</v>
      </c>
      <c r="Y14" s="14" t="s">
        <v>57</v>
      </c>
      <c r="Z14" s="14" t="s">
        <v>57</v>
      </c>
      <c r="AA14" s="14" t="s">
        <v>57</v>
      </c>
      <c r="AB14" s="14" t="str">
        <f t="shared" si="2"/>
        <v>WO</v>
      </c>
      <c r="AC14" s="14" t="s">
        <v>57</v>
      </c>
      <c r="AD14" s="14" t="s">
        <v>57</v>
      </c>
      <c r="AE14" s="14" t="s">
        <v>57</v>
      </c>
      <c r="AF14" s="14" t="s">
        <v>57</v>
      </c>
      <c r="AG14" s="14" t="s">
        <v>57</v>
      </c>
      <c r="AH14" s="14" t="s">
        <v>57</v>
      </c>
      <c r="AI14" s="14" t="str">
        <f t="shared" si="2"/>
        <v>WO</v>
      </c>
      <c r="AJ14" s="14" t="s">
        <v>57</v>
      </c>
      <c r="AK14" s="14" t="s">
        <v>57</v>
      </c>
      <c r="AL14" s="14" t="s">
        <v>57</v>
      </c>
      <c r="AM14" s="14" t="s">
        <v>57</v>
      </c>
      <c r="AN14" s="32" t="s">
        <v>57</v>
      </c>
      <c r="AO14" s="39"/>
      <c r="AR14" s="43"/>
      <c r="AS14" s="22">
        <v>7</v>
      </c>
      <c r="AT14" s="14" t="s">
        <v>26</v>
      </c>
      <c r="AU14" s="14" t="str">
        <f t="shared" si="3"/>
        <v>July</v>
      </c>
      <c r="AV14" s="10" t="s">
        <v>9</v>
      </c>
      <c r="AW14" s="22">
        <f t="shared" si="4"/>
        <v>27</v>
      </c>
      <c r="AX14" s="22">
        <f t="shared" si="5"/>
        <v>0</v>
      </c>
      <c r="AY14" s="22">
        <f t="shared" si="6"/>
        <v>0</v>
      </c>
      <c r="AZ14" s="22">
        <f t="shared" si="7"/>
        <v>4</v>
      </c>
      <c r="BA14" s="22">
        <f t="shared" si="8"/>
        <v>31</v>
      </c>
      <c r="BB14" s="22">
        <f>JanMonthlyReport9[[#This Row],[Days]]-JanMonthlyReport9[[#This Row],[Absent]]</f>
        <v>31</v>
      </c>
      <c r="BC14" s="23">
        <v>13000</v>
      </c>
      <c r="BD14" s="23">
        <f>JanMonthlyReport9[[#This Row],[Basic Salary]]/JanMonthlyReport9[[#This Row],[Days]]</f>
        <v>419.35483870967744</v>
      </c>
      <c r="BE14" s="23">
        <f>JanMonthlyReport9[[#This Row],[Per Day Salary]]*JanMonthlyReport9[[#This Row],[Absent]]</f>
        <v>0</v>
      </c>
      <c r="BF14" s="26">
        <f>JanMonthlyReport9[[#This Row],[Basic Salary]]-JanMonthlyReport9[[#This Row],[Deduction]]</f>
        <v>13000</v>
      </c>
      <c r="BG14" s="21"/>
      <c r="BH14" s="43"/>
    </row>
    <row r="15" spans="1:60" x14ac:dyDescent="0.25">
      <c r="A15"/>
      <c r="B15"/>
      <c r="E15" s="39"/>
      <c r="F15" s="24">
        <v>8</v>
      </c>
      <c r="G15" s="14" t="s">
        <v>27</v>
      </c>
      <c r="H15" s="10" t="s">
        <v>11</v>
      </c>
      <c r="I15" s="15">
        <f t="shared" si="9"/>
        <v>4</v>
      </c>
      <c r="J15" s="14" t="s">
        <v>57</v>
      </c>
      <c r="K15" s="14" t="s">
        <v>57</v>
      </c>
      <c r="L15" s="14" t="s">
        <v>57</v>
      </c>
      <c r="M15" s="14" t="s">
        <v>57</v>
      </c>
      <c r="N15" s="14" t="str">
        <f t="shared" si="2"/>
        <v>WO</v>
      </c>
      <c r="O15" s="14" t="s">
        <v>57</v>
      </c>
      <c r="P15" s="14" t="s">
        <v>57</v>
      </c>
      <c r="Q15" s="14" t="s">
        <v>57</v>
      </c>
      <c r="R15" s="14" t="s">
        <v>57</v>
      </c>
      <c r="S15" s="14" t="s">
        <v>57</v>
      </c>
      <c r="T15" s="14" t="s">
        <v>57</v>
      </c>
      <c r="U15" s="14" t="str">
        <f t="shared" si="2"/>
        <v>WO</v>
      </c>
      <c r="V15" s="14" t="s">
        <v>57</v>
      </c>
      <c r="W15" s="14" t="s">
        <v>57</v>
      </c>
      <c r="X15" s="14" t="s">
        <v>57</v>
      </c>
      <c r="Y15" s="14" t="s">
        <v>57</v>
      </c>
      <c r="Z15" s="14" t="s">
        <v>57</v>
      </c>
      <c r="AA15" s="14" t="s">
        <v>57</v>
      </c>
      <c r="AB15" s="14" t="str">
        <f t="shared" si="2"/>
        <v>WO</v>
      </c>
      <c r="AC15" s="14" t="s">
        <v>57</v>
      </c>
      <c r="AD15" s="14" t="s">
        <v>57</v>
      </c>
      <c r="AE15" s="14" t="s">
        <v>57</v>
      </c>
      <c r="AF15" s="14" t="s">
        <v>57</v>
      </c>
      <c r="AG15" s="14" t="s">
        <v>57</v>
      </c>
      <c r="AH15" s="14" t="s">
        <v>57</v>
      </c>
      <c r="AI15" s="14" t="str">
        <f t="shared" si="2"/>
        <v>WO</v>
      </c>
      <c r="AJ15" s="14" t="s">
        <v>57</v>
      </c>
      <c r="AK15" s="14" t="s">
        <v>57</v>
      </c>
      <c r="AL15" s="14" t="s">
        <v>57</v>
      </c>
      <c r="AM15" s="14" t="s">
        <v>57</v>
      </c>
      <c r="AN15" s="32" t="s">
        <v>57</v>
      </c>
      <c r="AO15" s="39"/>
      <c r="AR15" s="43"/>
      <c r="AS15" s="22">
        <v>8</v>
      </c>
      <c r="AT15" s="14" t="s">
        <v>27</v>
      </c>
      <c r="AU15" s="14" t="str">
        <f t="shared" si="3"/>
        <v>July</v>
      </c>
      <c r="AV15" s="10" t="s">
        <v>11</v>
      </c>
      <c r="AW15" s="22">
        <f t="shared" si="4"/>
        <v>27</v>
      </c>
      <c r="AX15" s="22">
        <f t="shared" si="5"/>
        <v>0</v>
      </c>
      <c r="AY15" s="22">
        <f t="shared" si="6"/>
        <v>0</v>
      </c>
      <c r="AZ15" s="22">
        <f t="shared" si="7"/>
        <v>4</v>
      </c>
      <c r="BA15" s="22">
        <f t="shared" si="8"/>
        <v>31</v>
      </c>
      <c r="BB15" s="22">
        <f>JanMonthlyReport9[[#This Row],[Days]]-JanMonthlyReport9[[#This Row],[Absent]]</f>
        <v>31</v>
      </c>
      <c r="BC15" s="23">
        <v>8000</v>
      </c>
      <c r="BD15" s="23">
        <f>JanMonthlyReport9[[#This Row],[Basic Salary]]/JanMonthlyReport9[[#This Row],[Days]]</f>
        <v>258.06451612903226</v>
      </c>
      <c r="BE15" s="23">
        <f>JanMonthlyReport9[[#This Row],[Per Day Salary]]*JanMonthlyReport9[[#This Row],[Absent]]</f>
        <v>0</v>
      </c>
      <c r="BF15" s="26">
        <f>JanMonthlyReport9[[#This Row],[Basic Salary]]-JanMonthlyReport9[[#This Row],[Deduction]]</f>
        <v>8000</v>
      </c>
      <c r="BG15" s="21"/>
      <c r="BH15" s="43"/>
    </row>
    <row r="16" spans="1:60" x14ac:dyDescent="0.25">
      <c r="A16"/>
      <c r="B16"/>
      <c r="E16" s="39"/>
      <c r="F16" s="24">
        <v>9</v>
      </c>
      <c r="G16" s="14" t="s">
        <v>28</v>
      </c>
      <c r="H16" s="10" t="s">
        <v>10</v>
      </c>
      <c r="I16" s="15">
        <f t="shared" si="9"/>
        <v>4</v>
      </c>
      <c r="J16" s="14" t="s">
        <v>57</v>
      </c>
      <c r="K16" s="14" t="s">
        <v>57</v>
      </c>
      <c r="L16" s="14" t="s">
        <v>57</v>
      </c>
      <c r="M16" s="14" t="s">
        <v>57</v>
      </c>
      <c r="N16" s="14" t="str">
        <f t="shared" si="2"/>
        <v>WO</v>
      </c>
      <c r="O16" s="14" t="s">
        <v>57</v>
      </c>
      <c r="P16" s="14" t="s">
        <v>57</v>
      </c>
      <c r="Q16" s="14" t="s">
        <v>57</v>
      </c>
      <c r="R16" s="14" t="s">
        <v>57</v>
      </c>
      <c r="S16" s="14" t="s">
        <v>57</v>
      </c>
      <c r="T16" s="14" t="s">
        <v>57</v>
      </c>
      <c r="U16" s="14" t="str">
        <f t="shared" si="2"/>
        <v>WO</v>
      </c>
      <c r="V16" s="14" t="s">
        <v>57</v>
      </c>
      <c r="W16" s="14" t="s">
        <v>59</v>
      </c>
      <c r="X16" s="14" t="s">
        <v>57</v>
      </c>
      <c r="Y16" s="14" t="s">
        <v>57</v>
      </c>
      <c r="Z16" s="14" t="s">
        <v>57</v>
      </c>
      <c r="AA16" s="14" t="s">
        <v>57</v>
      </c>
      <c r="AB16" s="14" t="str">
        <f t="shared" ref="Z16:AN24" si="10">IF(AB$6 = "sun","WO","")</f>
        <v>WO</v>
      </c>
      <c r="AC16" s="14" t="s">
        <v>57</v>
      </c>
      <c r="AD16" s="14" t="s">
        <v>57</v>
      </c>
      <c r="AE16" s="14" t="s">
        <v>57</v>
      </c>
      <c r="AF16" s="14" t="s">
        <v>57</v>
      </c>
      <c r="AG16" s="14" t="s">
        <v>57</v>
      </c>
      <c r="AH16" s="14" t="s">
        <v>57</v>
      </c>
      <c r="AI16" s="14" t="str">
        <f t="shared" si="10"/>
        <v>WO</v>
      </c>
      <c r="AJ16" s="14" t="s">
        <v>57</v>
      </c>
      <c r="AK16" s="14" t="s">
        <v>57</v>
      </c>
      <c r="AL16" s="14" t="s">
        <v>57</v>
      </c>
      <c r="AM16" s="14" t="s">
        <v>57</v>
      </c>
      <c r="AN16" s="32" t="s">
        <v>57</v>
      </c>
      <c r="AO16" s="39"/>
      <c r="AR16" s="43"/>
      <c r="AS16" s="22">
        <v>9</v>
      </c>
      <c r="AT16" s="14" t="s">
        <v>28</v>
      </c>
      <c r="AU16" s="14" t="str">
        <f t="shared" si="3"/>
        <v>July</v>
      </c>
      <c r="AV16" s="10" t="s">
        <v>10</v>
      </c>
      <c r="AW16" s="22">
        <f t="shared" si="4"/>
        <v>26</v>
      </c>
      <c r="AX16" s="22">
        <f t="shared" si="5"/>
        <v>1</v>
      </c>
      <c r="AY16" s="22">
        <f t="shared" si="6"/>
        <v>0</v>
      </c>
      <c r="AZ16" s="22">
        <f t="shared" si="7"/>
        <v>4</v>
      </c>
      <c r="BA16" s="22">
        <f t="shared" si="8"/>
        <v>31</v>
      </c>
      <c r="BB16" s="22">
        <f>JanMonthlyReport9[[#This Row],[Days]]-JanMonthlyReport9[[#This Row],[Absent]]</f>
        <v>30</v>
      </c>
      <c r="BC16" s="23">
        <v>10000</v>
      </c>
      <c r="BD16" s="23">
        <f>JanMonthlyReport9[[#This Row],[Basic Salary]]/JanMonthlyReport9[[#This Row],[Days]]</f>
        <v>322.58064516129031</v>
      </c>
      <c r="BE16" s="23">
        <f>JanMonthlyReport9[[#This Row],[Per Day Salary]]*JanMonthlyReport9[[#This Row],[Absent]]</f>
        <v>322.58064516129031</v>
      </c>
      <c r="BF16" s="26">
        <f>JanMonthlyReport9[[#This Row],[Basic Salary]]-JanMonthlyReport9[[#This Row],[Deduction]]</f>
        <v>9677.4193548387102</v>
      </c>
      <c r="BG16" s="21"/>
      <c r="BH16" s="43"/>
    </row>
    <row r="17" spans="1:60" x14ac:dyDescent="0.25">
      <c r="A17"/>
      <c r="B17"/>
      <c r="E17" s="39"/>
      <c r="F17" s="24">
        <v>10</v>
      </c>
      <c r="G17" s="14" t="s">
        <v>29</v>
      </c>
      <c r="H17" s="10" t="s">
        <v>12</v>
      </c>
      <c r="I17" s="15">
        <f t="shared" si="9"/>
        <v>4</v>
      </c>
      <c r="J17" s="14" t="s">
        <v>57</v>
      </c>
      <c r="K17" s="14" t="s">
        <v>57</v>
      </c>
      <c r="L17" s="14" t="s">
        <v>57</v>
      </c>
      <c r="M17" s="14" t="s">
        <v>57</v>
      </c>
      <c r="N17" s="14" t="str">
        <f t="shared" ref="J9:Y24" si="11">IF(N$6 = "sun","WO","")</f>
        <v>WO</v>
      </c>
      <c r="O17" s="14" t="s">
        <v>57</v>
      </c>
      <c r="P17" s="14" t="s">
        <v>57</v>
      </c>
      <c r="Q17" s="14" t="s">
        <v>57</v>
      </c>
      <c r="R17" s="14" t="s">
        <v>57</v>
      </c>
      <c r="S17" s="14" t="s">
        <v>57</v>
      </c>
      <c r="T17" s="14" t="s">
        <v>57</v>
      </c>
      <c r="U17" s="14" t="str">
        <f t="shared" si="11"/>
        <v>WO</v>
      </c>
      <c r="V17" s="14" t="s">
        <v>57</v>
      </c>
      <c r="W17" s="14" t="s">
        <v>57</v>
      </c>
      <c r="X17" s="14" t="s">
        <v>57</v>
      </c>
      <c r="Y17" s="14" t="s">
        <v>57</v>
      </c>
      <c r="Z17" s="14" t="s">
        <v>57</v>
      </c>
      <c r="AA17" s="14" t="s">
        <v>57</v>
      </c>
      <c r="AB17" s="14" t="str">
        <f t="shared" si="10"/>
        <v>WO</v>
      </c>
      <c r="AC17" s="14" t="s">
        <v>57</v>
      </c>
      <c r="AD17" s="14" t="s">
        <v>57</v>
      </c>
      <c r="AE17" s="14" t="s">
        <v>57</v>
      </c>
      <c r="AF17" s="14" t="s">
        <v>57</v>
      </c>
      <c r="AG17" s="14" t="s">
        <v>57</v>
      </c>
      <c r="AH17" s="14" t="s">
        <v>57</v>
      </c>
      <c r="AI17" s="14" t="str">
        <f t="shared" si="10"/>
        <v>WO</v>
      </c>
      <c r="AJ17" s="14" t="s">
        <v>57</v>
      </c>
      <c r="AK17" s="14" t="s">
        <v>57</v>
      </c>
      <c r="AL17" s="14" t="s">
        <v>57</v>
      </c>
      <c r="AM17" s="14" t="s">
        <v>57</v>
      </c>
      <c r="AN17" s="32" t="s">
        <v>57</v>
      </c>
      <c r="AO17" s="39"/>
      <c r="AR17" s="43"/>
      <c r="AS17" s="22">
        <v>10</v>
      </c>
      <c r="AT17" s="14" t="s">
        <v>29</v>
      </c>
      <c r="AU17" s="14" t="str">
        <f t="shared" si="3"/>
        <v>July</v>
      </c>
      <c r="AV17" s="10" t="s">
        <v>12</v>
      </c>
      <c r="AW17" s="22">
        <f t="shared" si="4"/>
        <v>27</v>
      </c>
      <c r="AX17" s="22">
        <f t="shared" si="5"/>
        <v>0</v>
      </c>
      <c r="AY17" s="22">
        <f t="shared" si="6"/>
        <v>0</v>
      </c>
      <c r="AZ17" s="22">
        <f t="shared" si="7"/>
        <v>4</v>
      </c>
      <c r="BA17" s="22">
        <f t="shared" si="8"/>
        <v>31</v>
      </c>
      <c r="BB17" s="22">
        <f>JanMonthlyReport9[[#This Row],[Days]]-JanMonthlyReport9[[#This Row],[Absent]]</f>
        <v>31</v>
      </c>
      <c r="BC17" s="23">
        <v>13000</v>
      </c>
      <c r="BD17" s="23">
        <f>JanMonthlyReport9[[#This Row],[Basic Salary]]/JanMonthlyReport9[[#This Row],[Days]]</f>
        <v>419.35483870967744</v>
      </c>
      <c r="BE17" s="23">
        <f>JanMonthlyReport9[[#This Row],[Per Day Salary]]*JanMonthlyReport9[[#This Row],[Absent]]</f>
        <v>0</v>
      </c>
      <c r="BF17" s="26">
        <f>JanMonthlyReport9[[#This Row],[Basic Salary]]-JanMonthlyReport9[[#This Row],[Deduction]]</f>
        <v>13000</v>
      </c>
      <c r="BG17" s="21"/>
      <c r="BH17" s="43"/>
    </row>
    <row r="18" spans="1:60" x14ac:dyDescent="0.25">
      <c r="A18"/>
      <c r="B18"/>
      <c r="E18" s="39"/>
      <c r="F18" s="24">
        <v>11</v>
      </c>
      <c r="G18" s="14" t="s">
        <v>30</v>
      </c>
      <c r="H18" s="10" t="s">
        <v>13</v>
      </c>
      <c r="I18" s="15">
        <f t="shared" si="9"/>
        <v>4</v>
      </c>
      <c r="J18" s="14" t="s">
        <v>57</v>
      </c>
      <c r="K18" s="14" t="s">
        <v>57</v>
      </c>
      <c r="L18" s="14" t="s">
        <v>57</v>
      </c>
      <c r="M18" s="14" t="s">
        <v>57</v>
      </c>
      <c r="N18" s="14" t="str">
        <f t="shared" si="11"/>
        <v>WO</v>
      </c>
      <c r="O18" s="14" t="s">
        <v>57</v>
      </c>
      <c r="P18" s="14" t="s">
        <v>57</v>
      </c>
      <c r="Q18" s="14" t="s">
        <v>57</v>
      </c>
      <c r="R18" s="14" t="s">
        <v>57</v>
      </c>
      <c r="S18" s="14" t="s">
        <v>57</v>
      </c>
      <c r="T18" s="14" t="s">
        <v>57</v>
      </c>
      <c r="U18" s="14" t="str">
        <f t="shared" si="11"/>
        <v>WO</v>
      </c>
      <c r="V18" s="14" t="s">
        <v>57</v>
      </c>
      <c r="W18" s="14" t="s">
        <v>57</v>
      </c>
      <c r="X18" s="14" t="s">
        <v>57</v>
      </c>
      <c r="Y18" s="14" t="s">
        <v>57</v>
      </c>
      <c r="Z18" s="14" t="s">
        <v>57</v>
      </c>
      <c r="AA18" s="14" t="s">
        <v>57</v>
      </c>
      <c r="AB18" s="14" t="str">
        <f t="shared" si="10"/>
        <v>WO</v>
      </c>
      <c r="AC18" s="14" t="s">
        <v>57</v>
      </c>
      <c r="AD18" s="14" t="s">
        <v>57</v>
      </c>
      <c r="AE18" s="14" t="s">
        <v>57</v>
      </c>
      <c r="AF18" s="14" t="s">
        <v>57</v>
      </c>
      <c r="AG18" s="14" t="s">
        <v>57</v>
      </c>
      <c r="AH18" s="14" t="s">
        <v>57</v>
      </c>
      <c r="AI18" s="14" t="str">
        <f t="shared" si="10"/>
        <v>WO</v>
      </c>
      <c r="AJ18" s="14" t="s">
        <v>57</v>
      </c>
      <c r="AK18" s="14" t="s">
        <v>57</v>
      </c>
      <c r="AL18" s="14" t="s">
        <v>57</v>
      </c>
      <c r="AM18" s="14" t="s">
        <v>57</v>
      </c>
      <c r="AN18" s="32" t="s">
        <v>57</v>
      </c>
      <c r="AO18" s="39"/>
      <c r="AR18" s="43"/>
      <c r="AS18" s="22">
        <v>11</v>
      </c>
      <c r="AT18" s="14" t="s">
        <v>30</v>
      </c>
      <c r="AU18" s="14" t="str">
        <f t="shared" si="3"/>
        <v>July</v>
      </c>
      <c r="AV18" s="10" t="s">
        <v>13</v>
      </c>
      <c r="AW18" s="22">
        <f t="shared" si="4"/>
        <v>27</v>
      </c>
      <c r="AX18" s="22">
        <f t="shared" si="5"/>
        <v>0</v>
      </c>
      <c r="AY18" s="22">
        <f t="shared" si="6"/>
        <v>0</v>
      </c>
      <c r="AZ18" s="22">
        <f t="shared" si="7"/>
        <v>4</v>
      </c>
      <c r="BA18" s="22">
        <f t="shared" si="8"/>
        <v>31</v>
      </c>
      <c r="BB18" s="22">
        <f>JanMonthlyReport9[[#This Row],[Days]]-JanMonthlyReport9[[#This Row],[Absent]]</f>
        <v>31</v>
      </c>
      <c r="BC18" s="23">
        <v>10000</v>
      </c>
      <c r="BD18" s="23">
        <f>JanMonthlyReport9[[#This Row],[Basic Salary]]/JanMonthlyReport9[[#This Row],[Days]]</f>
        <v>322.58064516129031</v>
      </c>
      <c r="BE18" s="23">
        <f>JanMonthlyReport9[[#This Row],[Per Day Salary]]*JanMonthlyReport9[[#This Row],[Absent]]</f>
        <v>0</v>
      </c>
      <c r="BF18" s="26">
        <f>JanMonthlyReport9[[#This Row],[Basic Salary]]-JanMonthlyReport9[[#This Row],[Deduction]]</f>
        <v>10000</v>
      </c>
      <c r="BG18" s="21"/>
      <c r="BH18" s="43"/>
    </row>
    <row r="19" spans="1:60" x14ac:dyDescent="0.25">
      <c r="A19"/>
      <c r="B19"/>
      <c r="E19" s="39"/>
      <c r="F19" s="24">
        <v>12</v>
      </c>
      <c r="G19" s="14" t="s">
        <v>31</v>
      </c>
      <c r="H19" s="10" t="s">
        <v>14</v>
      </c>
      <c r="I19" s="15">
        <f t="shared" si="9"/>
        <v>4</v>
      </c>
      <c r="J19" s="14" t="s">
        <v>57</v>
      </c>
      <c r="K19" s="14" t="s">
        <v>57</v>
      </c>
      <c r="L19" s="14" t="s">
        <v>57</v>
      </c>
      <c r="M19" s="14" t="s">
        <v>57</v>
      </c>
      <c r="N19" s="14" t="str">
        <f t="shared" si="11"/>
        <v>WO</v>
      </c>
      <c r="O19" s="14" t="s">
        <v>57</v>
      </c>
      <c r="P19" s="14" t="s">
        <v>57</v>
      </c>
      <c r="Q19" s="14" t="s">
        <v>57</v>
      </c>
      <c r="R19" s="14" t="s">
        <v>57</v>
      </c>
      <c r="S19" s="14" t="s">
        <v>57</v>
      </c>
      <c r="T19" s="14" t="s">
        <v>57</v>
      </c>
      <c r="U19" s="14" t="str">
        <f t="shared" si="11"/>
        <v>WO</v>
      </c>
      <c r="V19" s="14" t="s">
        <v>57</v>
      </c>
      <c r="W19" s="14" t="s">
        <v>57</v>
      </c>
      <c r="X19" s="14" t="s">
        <v>57</v>
      </c>
      <c r="Y19" s="14" t="s">
        <v>57</v>
      </c>
      <c r="Z19" s="14" t="s">
        <v>57</v>
      </c>
      <c r="AA19" s="14" t="s">
        <v>57</v>
      </c>
      <c r="AB19" s="14" t="str">
        <f t="shared" si="10"/>
        <v>WO</v>
      </c>
      <c r="AC19" s="14" t="s">
        <v>57</v>
      </c>
      <c r="AD19" s="14" t="s">
        <v>57</v>
      </c>
      <c r="AE19" s="14" t="s">
        <v>57</v>
      </c>
      <c r="AF19" s="14" t="s">
        <v>57</v>
      </c>
      <c r="AG19" s="14" t="s">
        <v>57</v>
      </c>
      <c r="AH19" s="14" t="s">
        <v>57</v>
      </c>
      <c r="AI19" s="14" t="str">
        <f t="shared" si="10"/>
        <v>WO</v>
      </c>
      <c r="AJ19" s="14" t="s">
        <v>57</v>
      </c>
      <c r="AK19" s="14" t="s">
        <v>57</v>
      </c>
      <c r="AL19" s="14" t="s">
        <v>57</v>
      </c>
      <c r="AM19" s="14" t="s">
        <v>57</v>
      </c>
      <c r="AN19" s="32" t="s">
        <v>57</v>
      </c>
      <c r="AO19" s="39"/>
      <c r="AR19" s="43"/>
      <c r="AS19" s="22">
        <v>12</v>
      </c>
      <c r="AT19" s="14" t="s">
        <v>31</v>
      </c>
      <c r="AU19" s="14" t="str">
        <f t="shared" si="3"/>
        <v>July</v>
      </c>
      <c r="AV19" s="10" t="s">
        <v>14</v>
      </c>
      <c r="AW19" s="22">
        <f t="shared" si="4"/>
        <v>27</v>
      </c>
      <c r="AX19" s="22">
        <f t="shared" si="5"/>
        <v>0</v>
      </c>
      <c r="AY19" s="22">
        <f t="shared" si="6"/>
        <v>0</v>
      </c>
      <c r="AZ19" s="22">
        <f t="shared" si="7"/>
        <v>4</v>
      </c>
      <c r="BA19" s="22">
        <f t="shared" si="8"/>
        <v>31</v>
      </c>
      <c r="BB19" s="22">
        <f>JanMonthlyReport9[[#This Row],[Days]]-JanMonthlyReport9[[#This Row],[Absent]]</f>
        <v>31</v>
      </c>
      <c r="BC19" s="23">
        <v>9000</v>
      </c>
      <c r="BD19" s="23">
        <f>JanMonthlyReport9[[#This Row],[Basic Salary]]/JanMonthlyReport9[[#This Row],[Days]]</f>
        <v>290.32258064516128</v>
      </c>
      <c r="BE19" s="23">
        <f>JanMonthlyReport9[[#This Row],[Per Day Salary]]*JanMonthlyReport9[[#This Row],[Absent]]</f>
        <v>0</v>
      </c>
      <c r="BF19" s="26">
        <f>JanMonthlyReport9[[#This Row],[Basic Salary]]-JanMonthlyReport9[[#This Row],[Deduction]]</f>
        <v>9000</v>
      </c>
      <c r="BG19" s="21"/>
      <c r="BH19" s="43"/>
    </row>
    <row r="20" spans="1:60" x14ac:dyDescent="0.25">
      <c r="A20"/>
      <c r="B20"/>
      <c r="E20" s="39"/>
      <c r="F20" s="24">
        <v>13</v>
      </c>
      <c r="G20" s="14" t="s">
        <v>32</v>
      </c>
      <c r="H20" s="10" t="s">
        <v>15</v>
      </c>
      <c r="I20" s="15">
        <f t="shared" si="9"/>
        <v>4</v>
      </c>
      <c r="J20" s="14" t="s">
        <v>57</v>
      </c>
      <c r="K20" s="14" t="s">
        <v>57</v>
      </c>
      <c r="L20" s="14" t="s">
        <v>57</v>
      </c>
      <c r="M20" s="14" t="s">
        <v>57</v>
      </c>
      <c r="N20" s="14" t="str">
        <f t="shared" si="11"/>
        <v>WO</v>
      </c>
      <c r="O20" s="14" t="s">
        <v>57</v>
      </c>
      <c r="P20" s="14" t="s">
        <v>57</v>
      </c>
      <c r="Q20" s="14" t="s">
        <v>57</v>
      </c>
      <c r="R20" s="14" t="s">
        <v>57</v>
      </c>
      <c r="S20" s="14" t="s">
        <v>57</v>
      </c>
      <c r="T20" s="14" t="s">
        <v>57</v>
      </c>
      <c r="U20" s="14" t="str">
        <f t="shared" si="11"/>
        <v>WO</v>
      </c>
      <c r="V20" s="14" t="s">
        <v>57</v>
      </c>
      <c r="W20" s="14" t="s">
        <v>57</v>
      </c>
      <c r="X20" s="14" t="s">
        <v>57</v>
      </c>
      <c r="Y20" s="14" t="s">
        <v>57</v>
      </c>
      <c r="Z20" s="14" t="s">
        <v>57</v>
      </c>
      <c r="AA20" s="14" t="s">
        <v>57</v>
      </c>
      <c r="AB20" s="14" t="str">
        <f t="shared" si="10"/>
        <v>WO</v>
      </c>
      <c r="AC20" s="14" t="s">
        <v>57</v>
      </c>
      <c r="AD20" s="14" t="s">
        <v>57</v>
      </c>
      <c r="AE20" s="14" t="s">
        <v>57</v>
      </c>
      <c r="AF20" s="14" t="s">
        <v>57</v>
      </c>
      <c r="AG20" s="14" t="s">
        <v>57</v>
      </c>
      <c r="AH20" s="14" t="s">
        <v>57</v>
      </c>
      <c r="AI20" s="14" t="str">
        <f t="shared" si="10"/>
        <v>WO</v>
      </c>
      <c r="AJ20" s="14" t="s">
        <v>57</v>
      </c>
      <c r="AK20" s="14" t="s">
        <v>57</v>
      </c>
      <c r="AL20" s="14" t="s">
        <v>57</v>
      </c>
      <c r="AM20" s="14" t="s">
        <v>57</v>
      </c>
      <c r="AN20" s="32" t="s">
        <v>57</v>
      </c>
      <c r="AO20" s="39"/>
      <c r="AR20" s="43"/>
      <c r="AS20" s="22">
        <v>13</v>
      </c>
      <c r="AT20" s="14" t="s">
        <v>32</v>
      </c>
      <c r="AU20" s="14" t="str">
        <f t="shared" si="3"/>
        <v>July</v>
      </c>
      <c r="AV20" s="10" t="s">
        <v>15</v>
      </c>
      <c r="AW20" s="22">
        <f t="shared" si="4"/>
        <v>27</v>
      </c>
      <c r="AX20" s="22">
        <f t="shared" si="5"/>
        <v>0</v>
      </c>
      <c r="AY20" s="22">
        <f t="shared" si="6"/>
        <v>0</v>
      </c>
      <c r="AZ20" s="22">
        <f t="shared" si="7"/>
        <v>4</v>
      </c>
      <c r="BA20" s="22">
        <f t="shared" si="8"/>
        <v>31</v>
      </c>
      <c r="BB20" s="22">
        <f>JanMonthlyReport9[[#This Row],[Days]]-JanMonthlyReport9[[#This Row],[Absent]]</f>
        <v>31</v>
      </c>
      <c r="BC20" s="23">
        <v>10000</v>
      </c>
      <c r="BD20" s="23">
        <f>JanMonthlyReport9[[#This Row],[Basic Salary]]/JanMonthlyReport9[[#This Row],[Days]]</f>
        <v>322.58064516129031</v>
      </c>
      <c r="BE20" s="23">
        <f>JanMonthlyReport9[[#This Row],[Per Day Salary]]*JanMonthlyReport9[[#This Row],[Absent]]</f>
        <v>0</v>
      </c>
      <c r="BF20" s="26">
        <f>JanMonthlyReport9[[#This Row],[Basic Salary]]-JanMonthlyReport9[[#This Row],[Deduction]]</f>
        <v>10000</v>
      </c>
      <c r="BG20" s="21"/>
      <c r="BH20" s="43"/>
    </row>
    <row r="21" spans="1:60" x14ac:dyDescent="0.25">
      <c r="A21"/>
      <c r="B21"/>
      <c r="E21" s="39"/>
      <c r="F21" s="24">
        <v>14</v>
      </c>
      <c r="G21" s="14" t="s">
        <v>33</v>
      </c>
      <c r="H21" s="10" t="s">
        <v>16</v>
      </c>
      <c r="I21" s="15">
        <f t="shared" si="9"/>
        <v>4</v>
      </c>
      <c r="J21" s="14" t="s">
        <v>57</v>
      </c>
      <c r="K21" s="14" t="s">
        <v>57</v>
      </c>
      <c r="L21" s="14" t="s">
        <v>57</v>
      </c>
      <c r="M21" s="14" t="s">
        <v>57</v>
      </c>
      <c r="N21" s="14" t="str">
        <f t="shared" si="11"/>
        <v>WO</v>
      </c>
      <c r="O21" s="14" t="s">
        <v>57</v>
      </c>
      <c r="P21" s="14" t="s">
        <v>57</v>
      </c>
      <c r="Q21" s="14" t="s">
        <v>57</v>
      </c>
      <c r="R21" s="14" t="s">
        <v>57</v>
      </c>
      <c r="S21" s="14" t="s">
        <v>57</v>
      </c>
      <c r="T21" s="14" t="s">
        <v>57</v>
      </c>
      <c r="U21" s="14" t="str">
        <f t="shared" si="11"/>
        <v>WO</v>
      </c>
      <c r="V21" s="14" t="s">
        <v>57</v>
      </c>
      <c r="W21" s="14" t="s">
        <v>57</v>
      </c>
      <c r="X21" s="14" t="s">
        <v>57</v>
      </c>
      <c r="Y21" s="14" t="s">
        <v>57</v>
      </c>
      <c r="Z21" s="14" t="s">
        <v>57</v>
      </c>
      <c r="AA21" s="14" t="s">
        <v>57</v>
      </c>
      <c r="AB21" s="14" t="str">
        <f t="shared" si="10"/>
        <v>WO</v>
      </c>
      <c r="AC21" s="14" t="s">
        <v>57</v>
      </c>
      <c r="AD21" s="14" t="s">
        <v>57</v>
      </c>
      <c r="AE21" s="14" t="s">
        <v>57</v>
      </c>
      <c r="AF21" s="14" t="s">
        <v>57</v>
      </c>
      <c r="AG21" s="14" t="s">
        <v>57</v>
      </c>
      <c r="AH21" s="14" t="s">
        <v>57</v>
      </c>
      <c r="AI21" s="14" t="str">
        <f t="shared" si="10"/>
        <v>WO</v>
      </c>
      <c r="AJ21" s="14" t="s">
        <v>57</v>
      </c>
      <c r="AK21" s="14" t="s">
        <v>57</v>
      </c>
      <c r="AL21" s="14" t="s">
        <v>57</v>
      </c>
      <c r="AM21" s="14" t="s">
        <v>57</v>
      </c>
      <c r="AN21" s="32" t="s">
        <v>57</v>
      </c>
      <c r="AO21" s="39"/>
      <c r="AR21" s="43"/>
      <c r="AS21" s="22">
        <v>14</v>
      </c>
      <c r="AT21" s="14" t="s">
        <v>33</v>
      </c>
      <c r="AU21" s="14" t="str">
        <f t="shared" si="3"/>
        <v>July</v>
      </c>
      <c r="AV21" s="10" t="s">
        <v>16</v>
      </c>
      <c r="AW21" s="22">
        <f t="shared" si="4"/>
        <v>27</v>
      </c>
      <c r="AX21" s="22">
        <f t="shared" si="5"/>
        <v>0</v>
      </c>
      <c r="AY21" s="22">
        <f t="shared" si="6"/>
        <v>0</v>
      </c>
      <c r="AZ21" s="22">
        <f t="shared" si="7"/>
        <v>4</v>
      </c>
      <c r="BA21" s="22">
        <f t="shared" si="8"/>
        <v>31</v>
      </c>
      <c r="BB21" s="22">
        <f>JanMonthlyReport9[[#This Row],[Days]]-JanMonthlyReport9[[#This Row],[Absent]]</f>
        <v>31</v>
      </c>
      <c r="BC21" s="23">
        <v>10000</v>
      </c>
      <c r="BD21" s="23">
        <f>JanMonthlyReport9[[#This Row],[Basic Salary]]/JanMonthlyReport9[[#This Row],[Days]]</f>
        <v>322.58064516129031</v>
      </c>
      <c r="BE21" s="23">
        <f>JanMonthlyReport9[[#This Row],[Per Day Salary]]*JanMonthlyReport9[[#This Row],[Absent]]</f>
        <v>0</v>
      </c>
      <c r="BF21" s="26">
        <f>JanMonthlyReport9[[#This Row],[Basic Salary]]-JanMonthlyReport9[[#This Row],[Deduction]]</f>
        <v>10000</v>
      </c>
      <c r="BG21" s="21"/>
      <c r="BH21" s="43"/>
    </row>
    <row r="22" spans="1:60" x14ac:dyDescent="0.25">
      <c r="A22"/>
      <c r="B22"/>
      <c r="E22" s="39"/>
      <c r="F22" s="24">
        <v>15</v>
      </c>
      <c r="G22" s="14" t="s">
        <v>34</v>
      </c>
      <c r="H22" s="10" t="s">
        <v>17</v>
      </c>
      <c r="I22" s="15">
        <f t="shared" si="9"/>
        <v>4</v>
      </c>
      <c r="J22" s="14" t="s">
        <v>57</v>
      </c>
      <c r="K22" s="14" t="s">
        <v>57</v>
      </c>
      <c r="L22" s="14" t="s">
        <v>57</v>
      </c>
      <c r="M22" s="14" t="s">
        <v>57</v>
      </c>
      <c r="N22" s="14" t="str">
        <f t="shared" si="11"/>
        <v>WO</v>
      </c>
      <c r="O22" s="14" t="s">
        <v>57</v>
      </c>
      <c r="P22" s="14" t="s">
        <v>57</v>
      </c>
      <c r="Q22" s="14" t="s">
        <v>57</v>
      </c>
      <c r="R22" s="14" t="s">
        <v>57</v>
      </c>
      <c r="S22" s="14" t="s">
        <v>57</v>
      </c>
      <c r="T22" s="14" t="s">
        <v>57</v>
      </c>
      <c r="U22" s="14" t="str">
        <f t="shared" si="11"/>
        <v>WO</v>
      </c>
      <c r="V22" s="14" t="s">
        <v>57</v>
      </c>
      <c r="W22" s="14" t="s">
        <v>57</v>
      </c>
      <c r="X22" s="14" t="s">
        <v>57</v>
      </c>
      <c r="Y22" s="14" t="s">
        <v>57</v>
      </c>
      <c r="Z22" s="14" t="s">
        <v>57</v>
      </c>
      <c r="AA22" s="14" t="s">
        <v>57</v>
      </c>
      <c r="AB22" s="14" t="str">
        <f t="shared" si="10"/>
        <v>WO</v>
      </c>
      <c r="AC22" s="14" t="s">
        <v>57</v>
      </c>
      <c r="AD22" s="14" t="s">
        <v>57</v>
      </c>
      <c r="AE22" s="14" t="s">
        <v>57</v>
      </c>
      <c r="AF22" s="14" t="s">
        <v>57</v>
      </c>
      <c r="AG22" s="14" t="s">
        <v>57</v>
      </c>
      <c r="AH22" s="14" t="s">
        <v>57</v>
      </c>
      <c r="AI22" s="14" t="str">
        <f t="shared" si="10"/>
        <v>WO</v>
      </c>
      <c r="AJ22" s="14" t="s">
        <v>57</v>
      </c>
      <c r="AK22" s="14" t="s">
        <v>57</v>
      </c>
      <c r="AL22" s="14" t="s">
        <v>57</v>
      </c>
      <c r="AM22" s="14" t="s">
        <v>57</v>
      </c>
      <c r="AN22" s="32" t="s">
        <v>57</v>
      </c>
      <c r="AO22" s="39"/>
      <c r="AR22" s="43"/>
      <c r="AS22" s="22">
        <v>15</v>
      </c>
      <c r="AT22" s="14" t="s">
        <v>34</v>
      </c>
      <c r="AU22" s="14" t="str">
        <f t="shared" si="3"/>
        <v>July</v>
      </c>
      <c r="AV22" s="10" t="s">
        <v>17</v>
      </c>
      <c r="AW22" s="22">
        <f t="shared" si="4"/>
        <v>27</v>
      </c>
      <c r="AX22" s="22">
        <f t="shared" si="5"/>
        <v>0</v>
      </c>
      <c r="AY22" s="22">
        <f t="shared" si="6"/>
        <v>0</v>
      </c>
      <c r="AZ22" s="22">
        <f t="shared" si="7"/>
        <v>4</v>
      </c>
      <c r="BA22" s="22">
        <f t="shared" si="8"/>
        <v>31</v>
      </c>
      <c r="BB22" s="22">
        <f>JanMonthlyReport9[[#This Row],[Days]]-JanMonthlyReport9[[#This Row],[Absent]]</f>
        <v>31</v>
      </c>
      <c r="BC22" s="23">
        <v>10000</v>
      </c>
      <c r="BD22" s="23">
        <f>JanMonthlyReport9[[#This Row],[Basic Salary]]/JanMonthlyReport9[[#This Row],[Days]]</f>
        <v>322.58064516129031</v>
      </c>
      <c r="BE22" s="23">
        <f>JanMonthlyReport9[[#This Row],[Per Day Salary]]*JanMonthlyReport9[[#This Row],[Absent]]</f>
        <v>0</v>
      </c>
      <c r="BF22" s="26">
        <f>JanMonthlyReport9[[#This Row],[Basic Salary]]-JanMonthlyReport9[[#This Row],[Deduction]]</f>
        <v>10000</v>
      </c>
      <c r="BG22" s="21"/>
      <c r="BH22" s="43"/>
    </row>
    <row r="23" spans="1:60" x14ac:dyDescent="0.25">
      <c r="A23"/>
      <c r="B23"/>
      <c r="E23" s="39"/>
      <c r="F23" s="24">
        <v>16</v>
      </c>
      <c r="G23" s="14" t="s">
        <v>35</v>
      </c>
      <c r="H23" s="10" t="s">
        <v>18</v>
      </c>
      <c r="I23" s="15">
        <f t="shared" si="9"/>
        <v>4</v>
      </c>
      <c r="J23" s="14" t="s">
        <v>57</v>
      </c>
      <c r="K23" s="14" t="s">
        <v>57</v>
      </c>
      <c r="L23" s="14" t="s">
        <v>57</v>
      </c>
      <c r="M23" s="14" t="s">
        <v>57</v>
      </c>
      <c r="N23" s="14" t="str">
        <f t="shared" si="11"/>
        <v>WO</v>
      </c>
      <c r="O23" s="14" t="s">
        <v>57</v>
      </c>
      <c r="P23" s="14" t="s">
        <v>57</v>
      </c>
      <c r="Q23" s="14" t="s">
        <v>57</v>
      </c>
      <c r="R23" s="14" t="s">
        <v>57</v>
      </c>
      <c r="S23" s="14" t="s">
        <v>57</v>
      </c>
      <c r="T23" s="14" t="s">
        <v>57</v>
      </c>
      <c r="U23" s="14" t="str">
        <f t="shared" si="11"/>
        <v>WO</v>
      </c>
      <c r="V23" s="14" t="s">
        <v>57</v>
      </c>
      <c r="W23" s="14" t="s">
        <v>57</v>
      </c>
      <c r="X23" s="14" t="s">
        <v>57</v>
      </c>
      <c r="Y23" s="14" t="s">
        <v>57</v>
      </c>
      <c r="Z23" s="14" t="s">
        <v>57</v>
      </c>
      <c r="AA23" s="14" t="s">
        <v>57</v>
      </c>
      <c r="AB23" s="14" t="str">
        <f t="shared" si="10"/>
        <v>WO</v>
      </c>
      <c r="AC23" s="14" t="s">
        <v>57</v>
      </c>
      <c r="AD23" s="14" t="s">
        <v>57</v>
      </c>
      <c r="AE23" s="14" t="s">
        <v>57</v>
      </c>
      <c r="AF23" s="14" t="s">
        <v>57</v>
      </c>
      <c r="AG23" s="14" t="s">
        <v>57</v>
      </c>
      <c r="AH23" s="14" t="s">
        <v>57</v>
      </c>
      <c r="AI23" s="14" t="str">
        <f t="shared" si="10"/>
        <v>WO</v>
      </c>
      <c r="AJ23" s="14" t="s">
        <v>57</v>
      </c>
      <c r="AK23" s="14" t="s">
        <v>57</v>
      </c>
      <c r="AL23" s="14" t="s">
        <v>57</v>
      </c>
      <c r="AM23" s="14" t="s">
        <v>57</v>
      </c>
      <c r="AN23" s="32" t="s">
        <v>57</v>
      </c>
      <c r="AO23" s="39"/>
      <c r="AR23" s="43"/>
      <c r="AS23" s="22">
        <v>16</v>
      </c>
      <c r="AT23" s="14" t="s">
        <v>35</v>
      </c>
      <c r="AU23" s="14" t="str">
        <f t="shared" si="3"/>
        <v>July</v>
      </c>
      <c r="AV23" s="10" t="s">
        <v>18</v>
      </c>
      <c r="AW23" s="22">
        <f t="shared" si="4"/>
        <v>27</v>
      </c>
      <c r="AX23" s="22">
        <f t="shared" si="5"/>
        <v>0</v>
      </c>
      <c r="AY23" s="22">
        <f t="shared" si="6"/>
        <v>0</v>
      </c>
      <c r="AZ23" s="22">
        <f t="shared" si="7"/>
        <v>4</v>
      </c>
      <c r="BA23" s="22">
        <f t="shared" si="8"/>
        <v>31</v>
      </c>
      <c r="BB23" s="22">
        <f>JanMonthlyReport9[[#This Row],[Days]]-JanMonthlyReport9[[#This Row],[Absent]]</f>
        <v>31</v>
      </c>
      <c r="BC23" s="23">
        <v>10000</v>
      </c>
      <c r="BD23" s="23">
        <f>JanMonthlyReport9[[#This Row],[Basic Salary]]/JanMonthlyReport9[[#This Row],[Days]]</f>
        <v>322.58064516129031</v>
      </c>
      <c r="BE23" s="23">
        <f>JanMonthlyReport9[[#This Row],[Per Day Salary]]*JanMonthlyReport9[[#This Row],[Absent]]</f>
        <v>0</v>
      </c>
      <c r="BF23" s="26">
        <f>JanMonthlyReport9[[#This Row],[Basic Salary]]-JanMonthlyReport9[[#This Row],[Deduction]]</f>
        <v>10000</v>
      </c>
      <c r="BG23" s="21"/>
      <c r="BH23" s="43"/>
    </row>
    <row r="24" spans="1:60" ht="15.75" thickBot="1" x14ac:dyDescent="0.3">
      <c r="A24"/>
      <c r="B24"/>
      <c r="E24" s="39"/>
      <c r="F24" s="25">
        <v>17</v>
      </c>
      <c r="G24" s="33" t="s">
        <v>36</v>
      </c>
      <c r="H24" s="34" t="s">
        <v>19</v>
      </c>
      <c r="I24" s="35">
        <f t="shared" si="9"/>
        <v>4</v>
      </c>
      <c r="J24" s="33" t="s">
        <v>57</v>
      </c>
      <c r="K24" s="33" t="s">
        <v>57</v>
      </c>
      <c r="L24" s="33" t="s">
        <v>57</v>
      </c>
      <c r="M24" s="33" t="s">
        <v>57</v>
      </c>
      <c r="N24" s="33" t="str">
        <f t="shared" si="11"/>
        <v>WO</v>
      </c>
      <c r="O24" s="33" t="s">
        <v>57</v>
      </c>
      <c r="P24" s="33" t="s">
        <v>57</v>
      </c>
      <c r="Q24" s="33" t="s">
        <v>57</v>
      </c>
      <c r="R24" s="33" t="s">
        <v>57</v>
      </c>
      <c r="S24" s="33" t="s">
        <v>57</v>
      </c>
      <c r="T24" s="33" t="s">
        <v>57</v>
      </c>
      <c r="U24" s="33" t="str">
        <f t="shared" si="11"/>
        <v>WO</v>
      </c>
      <c r="V24" s="33" t="s">
        <v>57</v>
      </c>
      <c r="W24" s="33" t="s">
        <v>57</v>
      </c>
      <c r="X24" s="33" t="s">
        <v>57</v>
      </c>
      <c r="Y24" s="33" t="s">
        <v>57</v>
      </c>
      <c r="Z24" s="33" t="s">
        <v>57</v>
      </c>
      <c r="AA24" s="33" t="s">
        <v>57</v>
      </c>
      <c r="AB24" s="33" t="str">
        <f t="shared" si="10"/>
        <v>WO</v>
      </c>
      <c r="AC24" s="33" t="s">
        <v>57</v>
      </c>
      <c r="AD24" s="33" t="s">
        <v>57</v>
      </c>
      <c r="AE24" s="33" t="s">
        <v>57</v>
      </c>
      <c r="AF24" s="33" t="s">
        <v>57</v>
      </c>
      <c r="AG24" s="33" t="s">
        <v>57</v>
      </c>
      <c r="AH24" s="33" t="s">
        <v>57</v>
      </c>
      <c r="AI24" s="33" t="str">
        <f t="shared" si="10"/>
        <v>WO</v>
      </c>
      <c r="AJ24" s="33" t="s">
        <v>57</v>
      </c>
      <c r="AK24" s="33" t="s">
        <v>57</v>
      </c>
      <c r="AL24" s="33" t="s">
        <v>57</v>
      </c>
      <c r="AM24" s="33" t="s">
        <v>57</v>
      </c>
      <c r="AN24" s="36" t="s">
        <v>57</v>
      </c>
      <c r="AO24" s="39"/>
      <c r="AR24" s="43"/>
      <c r="AS24" s="22">
        <v>17</v>
      </c>
      <c r="AT24" s="14" t="s">
        <v>36</v>
      </c>
      <c r="AU24" s="14" t="str">
        <f t="shared" si="3"/>
        <v>July</v>
      </c>
      <c r="AV24" s="10" t="s">
        <v>19</v>
      </c>
      <c r="AW24" s="22">
        <f t="shared" si="4"/>
        <v>27</v>
      </c>
      <c r="AX24" s="22">
        <f t="shared" si="5"/>
        <v>0</v>
      </c>
      <c r="AY24" s="22">
        <f t="shared" si="6"/>
        <v>0</v>
      </c>
      <c r="AZ24" s="22">
        <f t="shared" si="7"/>
        <v>4</v>
      </c>
      <c r="BA24" s="22">
        <f t="shared" si="8"/>
        <v>31</v>
      </c>
      <c r="BB24" s="22">
        <f>JanMonthlyReport9[[#This Row],[Days]]-JanMonthlyReport9[[#This Row],[Absent]]</f>
        <v>31</v>
      </c>
      <c r="BC24" s="23">
        <v>9000</v>
      </c>
      <c r="BD24" s="23">
        <f>JanMonthlyReport9[[#This Row],[Basic Salary]]/JanMonthlyReport9[[#This Row],[Days]]</f>
        <v>290.32258064516128</v>
      </c>
      <c r="BE24" s="23">
        <f>JanMonthlyReport9[[#This Row],[Per Day Salary]]*JanMonthlyReport9[[#This Row],[Absent]]</f>
        <v>0</v>
      </c>
      <c r="BF24" s="26">
        <f>JanMonthlyReport9[[#This Row],[Basic Salary]]-JanMonthlyReport9[[#This Row],[Deduction]]</f>
        <v>9000</v>
      </c>
      <c r="BG24" s="21"/>
      <c r="BH24" s="43"/>
    </row>
    <row r="25" spans="1:60" x14ac:dyDescent="0.25">
      <c r="A25"/>
      <c r="B25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</row>
    <row r="26" spans="1:60" x14ac:dyDescent="0.25">
      <c r="A26"/>
      <c r="B26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</row>
    <row r="27" spans="1:60" x14ac:dyDescent="0.25">
      <c r="A27"/>
      <c r="B27"/>
    </row>
    <row r="28" spans="1:60" x14ac:dyDescent="0.25">
      <c r="A28"/>
      <c r="B28"/>
    </row>
    <row r="29" spans="1:60" x14ac:dyDescent="0.25">
      <c r="A29"/>
      <c r="B29"/>
    </row>
    <row r="30" spans="1:60" x14ac:dyDescent="0.25">
      <c r="A30"/>
      <c r="B30"/>
    </row>
    <row r="31" spans="1:60" x14ac:dyDescent="0.25">
      <c r="A31"/>
      <c r="B31"/>
    </row>
    <row r="32" spans="1:60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</sheetData>
  <mergeCells count="1">
    <mergeCell ref="F6:H6"/>
  </mergeCells>
  <conditionalFormatting sqref="AQ7 N8:N24 U8:U24 AB8:AB24 AI8:AI24">
    <cfRule type="containsText" dxfId="477" priority="10" operator="containsText" text="WO">
      <formula>NOT(ISERROR(SEARCH("WO",N7)))</formula>
    </cfRule>
  </conditionalFormatting>
  <conditionalFormatting sqref="G4 I8:I24 N8:N24 U8:U24 AB8:AB24 AI8:AI24">
    <cfRule type="containsText" dxfId="476" priority="9" operator="containsText" text="WO">
      <formula>NOT(ISERROR(SEARCH("WO",G4)))</formula>
    </cfRule>
  </conditionalFormatting>
  <conditionalFormatting sqref="N8:N24 U8:U24 AB8:AB24 AI8:AI24">
    <cfRule type="containsText" dxfId="473" priority="6" operator="containsText" text="L">
      <formula>NOT(ISERROR(SEARCH("L",N8)))</formula>
    </cfRule>
    <cfRule type="containsText" dxfId="474" priority="7" operator="containsText" text="A">
      <formula>NOT(ISERROR(SEARCH("A",N8)))</formula>
    </cfRule>
    <cfRule type="containsText" dxfId="475" priority="8" operator="containsText" text="P">
      <formula>NOT(ISERROR(SEARCH("P",N8)))</formula>
    </cfRule>
  </conditionalFormatting>
  <conditionalFormatting sqref="AJ8:AN24 AC8:AH24 V8:AA24 O8:T24 J8:M24">
    <cfRule type="containsText" dxfId="54" priority="5" operator="containsText" text="WO">
      <formula>NOT(ISERROR(SEARCH("WO",J8)))</formula>
    </cfRule>
  </conditionalFormatting>
  <conditionalFormatting sqref="AJ8:AN24 AC8:AH24 V8:AA24 O8:T24 J8:M24">
    <cfRule type="containsText" dxfId="53" priority="4" operator="containsText" text="WO">
      <formula>NOT(ISERROR(SEARCH("WO",J8)))</formula>
    </cfRule>
  </conditionalFormatting>
  <conditionalFormatting sqref="AJ8:AN24 AC8:AH24 V8:AA24 O8:T24 J8:M24">
    <cfRule type="containsText" dxfId="52" priority="1" operator="containsText" text="L">
      <formula>NOT(ISERROR(SEARCH("L",J8)))</formula>
    </cfRule>
    <cfRule type="containsText" dxfId="51" priority="2" operator="containsText" text="A">
      <formula>NOT(ISERROR(SEARCH("A",J8)))</formula>
    </cfRule>
    <cfRule type="containsText" dxfId="50" priority="3" operator="containsText" text="P">
      <formula>NOT(ISERROR(SEARCH("P",J8)))</formula>
    </cfRule>
  </conditionalFormatting>
  <dataValidations count="1">
    <dataValidation type="list" allowBlank="1" showInputMessage="1" showErrorMessage="1" sqref="G4 J8:M24 O8:T24 V8:AA24 AC8:AH24 AJ8:AN24" xr:uid="{723CC45A-5A58-4867-B5B6-2CCBE17E82C6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E017FDE3-3807-4101-A1B7-796D65119D50}">
          <x14:colorSeries theme="7"/>
          <x14:colorNegative rgb="FFFF0000"/>
          <x14:colorAxis rgb="FF000000"/>
          <x14:colorMarkers rgb="FFD00000"/>
          <x14:colorFirst rgb="FFD00000"/>
          <x14:colorLast rgb="FFD00000"/>
          <x14:colorHigh rgb="FF2BF595"/>
          <x14:colorLow rgb="FFD00000"/>
          <x14:sparklines>
            <x14:sparkline>
              <xm:f>July!AW8:AY8</xm:f>
              <xm:sqref>BG8</xm:sqref>
            </x14:sparkline>
            <x14:sparkline>
              <xm:f>July!AW9:AY9</xm:f>
              <xm:sqref>BG9</xm:sqref>
            </x14:sparkline>
            <x14:sparkline>
              <xm:f>July!AW10:AY10</xm:f>
              <xm:sqref>BG10</xm:sqref>
            </x14:sparkline>
            <x14:sparkline>
              <xm:f>July!AW11:AY11</xm:f>
              <xm:sqref>BG11</xm:sqref>
            </x14:sparkline>
            <x14:sparkline>
              <xm:f>July!AW12:AY12</xm:f>
              <xm:sqref>BG12</xm:sqref>
            </x14:sparkline>
            <x14:sparkline>
              <xm:f>July!AW13:AY13</xm:f>
              <xm:sqref>BG13</xm:sqref>
            </x14:sparkline>
            <x14:sparkline>
              <xm:f>July!AW14:AY14</xm:f>
              <xm:sqref>BG14</xm:sqref>
            </x14:sparkline>
            <x14:sparkline>
              <xm:f>July!AW15:AY15</xm:f>
              <xm:sqref>BG15</xm:sqref>
            </x14:sparkline>
            <x14:sparkline>
              <xm:f>July!AW16:AY16</xm:f>
              <xm:sqref>BG16</xm:sqref>
            </x14:sparkline>
            <x14:sparkline>
              <xm:f>July!AW17:AY17</xm:f>
              <xm:sqref>BG17</xm:sqref>
            </x14:sparkline>
            <x14:sparkline>
              <xm:f>July!AW18:AY18</xm:f>
              <xm:sqref>BG18</xm:sqref>
            </x14:sparkline>
            <x14:sparkline>
              <xm:f>July!AW19:AY19</xm:f>
              <xm:sqref>BG19</xm:sqref>
            </x14:sparkline>
            <x14:sparkline>
              <xm:f>July!AW20:AY20</xm:f>
              <xm:sqref>BG20</xm:sqref>
            </x14:sparkline>
            <x14:sparkline>
              <xm:f>July!AW21:AY21</xm:f>
              <xm:sqref>BG21</xm:sqref>
            </x14:sparkline>
            <x14:sparkline>
              <xm:f>July!AW22:AY22</xm:f>
              <xm:sqref>BG22</xm:sqref>
            </x14:sparkline>
            <x14:sparkline>
              <xm:f>July!AW23:AY23</xm:f>
              <xm:sqref>BG23</xm:sqref>
            </x14:sparkline>
            <x14:sparkline>
              <xm:f>July!AW24:AY24</xm:f>
              <xm:sqref>BG24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43C1-740F-452D-959F-BD374D22AEF6}">
  <dimension ref="A1:BH36"/>
  <sheetViews>
    <sheetView topLeftCell="AQ1" zoomScale="80" zoomScaleNormal="80" workbookViewId="0">
      <selection activeCell="BG8" sqref="BG8:BG24"/>
    </sheetView>
  </sheetViews>
  <sheetFormatPr defaultRowHeight="15" x14ac:dyDescent="0.25"/>
  <cols>
    <col min="1" max="5" width="9.140625" style="37"/>
    <col min="6" max="6" width="8.28515625" style="37" bestFit="1" customWidth="1"/>
    <col min="7" max="7" width="14.7109375" style="37" bestFit="1" customWidth="1"/>
    <col min="8" max="8" width="24" style="37" bestFit="1" customWidth="1"/>
    <col min="9" max="9" width="9.85546875" style="37" bestFit="1" customWidth="1"/>
    <col min="10" max="10" width="8.42578125" style="37" bestFit="1" customWidth="1"/>
    <col min="11" max="11" width="6.42578125" style="37" customWidth="1"/>
    <col min="12" max="12" width="5.85546875" style="37" bestFit="1" customWidth="1"/>
    <col min="13" max="13" width="6.42578125" style="37" bestFit="1" customWidth="1"/>
    <col min="14" max="14" width="6.5703125" style="37" bestFit="1" customWidth="1"/>
    <col min="15" max="15" width="6.140625" style="37" bestFit="1" customWidth="1"/>
    <col min="16" max="16" width="6.85546875" style="37" bestFit="1" customWidth="1"/>
    <col min="17" max="17" width="6.140625" style="37" bestFit="1" customWidth="1"/>
    <col min="18" max="18" width="4.7109375" style="37" bestFit="1" customWidth="1"/>
    <col min="19" max="19" width="5.85546875" style="37" bestFit="1" customWidth="1"/>
    <col min="20" max="20" width="6.42578125" style="37" bestFit="1" customWidth="1"/>
    <col min="21" max="21" width="6.5703125" style="37" bestFit="1" customWidth="1"/>
    <col min="22" max="22" width="6.140625" style="37" bestFit="1" customWidth="1"/>
    <col min="23" max="23" width="6.85546875" style="37" bestFit="1" customWidth="1"/>
    <col min="24" max="24" width="6.140625" style="37" bestFit="1" customWidth="1"/>
    <col min="25" max="25" width="4.7109375" style="37" bestFit="1" customWidth="1"/>
    <col min="26" max="26" width="5.85546875" style="37" bestFit="1" customWidth="1"/>
    <col min="27" max="27" width="6.42578125" style="37" bestFit="1" customWidth="1"/>
    <col min="28" max="28" width="6.5703125" style="37" bestFit="1" customWidth="1"/>
    <col min="29" max="29" width="6.140625" style="37" bestFit="1" customWidth="1"/>
    <col min="30" max="30" width="6.85546875" style="37" bestFit="1" customWidth="1"/>
    <col min="31" max="31" width="6.140625" style="37" bestFit="1" customWidth="1"/>
    <col min="32" max="32" width="4.7109375" style="37" bestFit="1" customWidth="1"/>
    <col min="33" max="33" width="5.85546875" style="37" bestFit="1" customWidth="1"/>
    <col min="34" max="34" width="6.42578125" style="37" bestFit="1" customWidth="1"/>
    <col min="35" max="35" width="6.5703125" style="37" bestFit="1" customWidth="1"/>
    <col min="36" max="36" width="6.140625" style="37" bestFit="1" customWidth="1"/>
    <col min="37" max="37" width="6.85546875" style="37" bestFit="1" customWidth="1"/>
    <col min="38" max="38" width="6.140625" style="37" bestFit="1" customWidth="1"/>
    <col min="39" max="39" width="4.5703125" style="37" bestFit="1" customWidth="1"/>
    <col min="40" max="40" width="5.7109375" style="37" bestFit="1" customWidth="1"/>
    <col min="41" max="45" width="9.140625" style="37"/>
    <col min="46" max="47" width="15.140625" style="37" customWidth="1"/>
    <col min="48" max="48" width="21.5703125" style="37" bestFit="1" customWidth="1"/>
    <col min="49" max="49" width="9.85546875" style="37" customWidth="1"/>
    <col min="50" max="50" width="9.28515625" style="37" customWidth="1"/>
    <col min="51" max="51" width="8.42578125" style="37" customWidth="1"/>
    <col min="52" max="52" width="11.85546875" style="37" customWidth="1"/>
    <col min="53" max="53" width="7.7109375" style="37" customWidth="1"/>
    <col min="54" max="54" width="12" style="37" customWidth="1"/>
    <col min="55" max="55" width="14" style="37" customWidth="1"/>
    <col min="56" max="56" width="16.28515625" style="37" customWidth="1"/>
    <col min="57" max="57" width="12.5703125" style="37" bestFit="1" customWidth="1"/>
    <col min="58" max="58" width="13.7109375" style="37" customWidth="1"/>
    <col min="59" max="59" width="16.7109375" style="37" customWidth="1"/>
    <col min="60" max="16384" width="9.140625" style="37"/>
  </cols>
  <sheetData>
    <row r="1" spans="1:6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6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60" x14ac:dyDescent="0.25">
      <c r="A3"/>
      <c r="B3"/>
    </row>
    <row r="4" spans="1:60" x14ac:dyDescent="0.25">
      <c r="A4"/>
      <c r="B4"/>
      <c r="E4" s="39"/>
      <c r="F4" s="39" t="s">
        <v>41</v>
      </c>
      <c r="G4" s="40">
        <v>46235</v>
      </c>
      <c r="H4" s="41">
        <f>DATEDIF($G$4,$K$4,"D")+1</f>
        <v>31</v>
      </c>
      <c r="I4" s="39" t="str">
        <f>TEXT(G4,"MMMM")</f>
        <v>August</v>
      </c>
      <c r="J4" s="39" t="s">
        <v>42</v>
      </c>
      <c r="K4" s="40">
        <f>EOMONTH(G4,0)</f>
        <v>46265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60" ht="15.75" thickBot="1" x14ac:dyDescent="0.3">
      <c r="A5"/>
      <c r="B5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</row>
    <row r="6" spans="1:60" x14ac:dyDescent="0.25">
      <c r="A6"/>
      <c r="B6"/>
      <c r="E6" s="39"/>
      <c r="F6" s="46" t="s">
        <v>44</v>
      </c>
      <c r="G6" s="47"/>
      <c r="H6" s="48"/>
      <c r="I6" s="27" t="s">
        <v>43</v>
      </c>
      <c r="J6" s="28" t="str">
        <f>TEXT(J7,"DDD")</f>
        <v>Sat</v>
      </c>
      <c r="K6" s="28" t="str">
        <f t="shared" ref="K6:AN6" si="0">TEXT(K7,"DDD")</f>
        <v>Sun</v>
      </c>
      <c r="L6" s="28" t="str">
        <f t="shared" si="0"/>
        <v>Mon</v>
      </c>
      <c r="M6" s="28" t="str">
        <f t="shared" si="0"/>
        <v>Tue</v>
      </c>
      <c r="N6" s="28" t="str">
        <f t="shared" si="0"/>
        <v>Wed</v>
      </c>
      <c r="O6" s="28" t="str">
        <f t="shared" si="0"/>
        <v>Thu</v>
      </c>
      <c r="P6" s="28" t="str">
        <f t="shared" si="0"/>
        <v>Fri</v>
      </c>
      <c r="Q6" s="28" t="str">
        <f t="shared" si="0"/>
        <v>Sat</v>
      </c>
      <c r="R6" s="28" t="str">
        <f t="shared" si="0"/>
        <v>Sun</v>
      </c>
      <c r="S6" s="28" t="str">
        <f t="shared" si="0"/>
        <v>Mon</v>
      </c>
      <c r="T6" s="28" t="str">
        <f t="shared" si="0"/>
        <v>Tue</v>
      </c>
      <c r="U6" s="28" t="str">
        <f t="shared" si="0"/>
        <v>Wed</v>
      </c>
      <c r="V6" s="28" t="str">
        <f t="shared" si="0"/>
        <v>Thu</v>
      </c>
      <c r="W6" s="28" t="str">
        <f t="shared" si="0"/>
        <v>Fri</v>
      </c>
      <c r="X6" s="28" t="str">
        <f t="shared" si="0"/>
        <v>Sat</v>
      </c>
      <c r="Y6" s="28" t="str">
        <f t="shared" si="0"/>
        <v>Sun</v>
      </c>
      <c r="Z6" s="28" t="str">
        <f t="shared" si="0"/>
        <v>Mon</v>
      </c>
      <c r="AA6" s="28" t="str">
        <f t="shared" si="0"/>
        <v>Tue</v>
      </c>
      <c r="AB6" s="28" t="str">
        <f t="shared" si="0"/>
        <v>Wed</v>
      </c>
      <c r="AC6" s="28" t="str">
        <f t="shared" si="0"/>
        <v>Thu</v>
      </c>
      <c r="AD6" s="28" t="str">
        <f t="shared" si="0"/>
        <v>Fri</v>
      </c>
      <c r="AE6" s="28" t="str">
        <f t="shared" si="0"/>
        <v>Sat</v>
      </c>
      <c r="AF6" s="28" t="str">
        <f t="shared" si="0"/>
        <v>Sun</v>
      </c>
      <c r="AG6" s="28" t="str">
        <f t="shared" si="0"/>
        <v>Mon</v>
      </c>
      <c r="AH6" s="28" t="str">
        <f t="shared" si="0"/>
        <v>Tue</v>
      </c>
      <c r="AI6" s="28" t="str">
        <f t="shared" si="0"/>
        <v>Wed</v>
      </c>
      <c r="AJ6" s="28" t="str">
        <f t="shared" si="0"/>
        <v>Thu</v>
      </c>
      <c r="AK6" s="28" t="str">
        <f t="shared" si="0"/>
        <v>Fri</v>
      </c>
      <c r="AL6" s="28" t="str">
        <f t="shared" si="0"/>
        <v>Sat</v>
      </c>
      <c r="AM6" s="28" t="str">
        <f t="shared" si="0"/>
        <v>Sun</v>
      </c>
      <c r="AN6" s="29" t="str">
        <f t="shared" si="0"/>
        <v>Mon</v>
      </c>
      <c r="AO6" s="42" t="str">
        <f>IF(AN7 &lt; $K$4,AN7+1,"")</f>
        <v/>
      </c>
      <c r="AP6" s="38"/>
      <c r="AQ6" s="38"/>
      <c r="AR6" s="44"/>
      <c r="AS6" s="44"/>
      <c r="AT6" s="44"/>
      <c r="AU6" s="44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</row>
    <row r="7" spans="1:60" ht="15.75" thickBot="1" x14ac:dyDescent="0.3">
      <c r="A7"/>
      <c r="B7"/>
      <c r="E7" s="39"/>
      <c r="F7" s="30" t="s">
        <v>37</v>
      </c>
      <c r="G7" s="12" t="s">
        <v>38</v>
      </c>
      <c r="H7" s="13" t="s">
        <v>39</v>
      </c>
      <c r="I7" s="16" t="s">
        <v>40</v>
      </c>
      <c r="J7" s="17">
        <f>G4</f>
        <v>46235</v>
      </c>
      <c r="K7" s="17">
        <f t="shared" ref="K7:AN7" si="1">IF(J7 &lt; $K$4,J7+1,"")</f>
        <v>46236</v>
      </c>
      <c r="L7" s="17">
        <f t="shared" si="1"/>
        <v>46237</v>
      </c>
      <c r="M7" s="17">
        <f t="shared" si="1"/>
        <v>46238</v>
      </c>
      <c r="N7" s="17">
        <f t="shared" si="1"/>
        <v>46239</v>
      </c>
      <c r="O7" s="17">
        <f t="shared" si="1"/>
        <v>46240</v>
      </c>
      <c r="P7" s="17">
        <f t="shared" si="1"/>
        <v>46241</v>
      </c>
      <c r="Q7" s="17">
        <f t="shared" si="1"/>
        <v>46242</v>
      </c>
      <c r="R7" s="17">
        <f t="shared" si="1"/>
        <v>46243</v>
      </c>
      <c r="S7" s="17">
        <f t="shared" si="1"/>
        <v>46244</v>
      </c>
      <c r="T7" s="17">
        <f t="shared" si="1"/>
        <v>46245</v>
      </c>
      <c r="U7" s="17">
        <f t="shared" si="1"/>
        <v>46246</v>
      </c>
      <c r="V7" s="17">
        <f t="shared" si="1"/>
        <v>46247</v>
      </c>
      <c r="W7" s="17">
        <f t="shared" si="1"/>
        <v>46248</v>
      </c>
      <c r="X7" s="17">
        <f t="shared" si="1"/>
        <v>46249</v>
      </c>
      <c r="Y7" s="17">
        <f t="shared" si="1"/>
        <v>46250</v>
      </c>
      <c r="Z7" s="17">
        <f t="shared" si="1"/>
        <v>46251</v>
      </c>
      <c r="AA7" s="17">
        <f t="shared" si="1"/>
        <v>46252</v>
      </c>
      <c r="AB7" s="17">
        <f t="shared" si="1"/>
        <v>46253</v>
      </c>
      <c r="AC7" s="17">
        <f t="shared" si="1"/>
        <v>46254</v>
      </c>
      <c r="AD7" s="17">
        <f t="shared" si="1"/>
        <v>46255</v>
      </c>
      <c r="AE7" s="17">
        <f t="shared" si="1"/>
        <v>46256</v>
      </c>
      <c r="AF7" s="17">
        <f t="shared" si="1"/>
        <v>46257</v>
      </c>
      <c r="AG7" s="17">
        <f t="shared" si="1"/>
        <v>46258</v>
      </c>
      <c r="AH7" s="17">
        <f t="shared" si="1"/>
        <v>46259</v>
      </c>
      <c r="AI7" s="17">
        <f t="shared" si="1"/>
        <v>46260</v>
      </c>
      <c r="AJ7" s="17">
        <f t="shared" si="1"/>
        <v>46261</v>
      </c>
      <c r="AK7" s="17">
        <f t="shared" si="1"/>
        <v>46262</v>
      </c>
      <c r="AL7" s="17">
        <f t="shared" si="1"/>
        <v>46263</v>
      </c>
      <c r="AM7" s="17">
        <f t="shared" si="1"/>
        <v>46264</v>
      </c>
      <c r="AN7" s="31">
        <f t="shared" si="1"/>
        <v>46265</v>
      </c>
      <c r="AO7" s="39"/>
      <c r="AR7" s="43"/>
      <c r="AS7" s="18" t="s">
        <v>37</v>
      </c>
      <c r="AT7" s="18" t="s">
        <v>38</v>
      </c>
      <c r="AU7" s="18" t="s">
        <v>56</v>
      </c>
      <c r="AV7" s="19" t="s">
        <v>39</v>
      </c>
      <c r="AW7" s="18" t="s">
        <v>45</v>
      </c>
      <c r="AX7" s="18" t="s">
        <v>46</v>
      </c>
      <c r="AY7" s="18" t="s">
        <v>47</v>
      </c>
      <c r="AZ7" s="18" t="s">
        <v>48</v>
      </c>
      <c r="BA7" s="18" t="s">
        <v>49</v>
      </c>
      <c r="BB7" s="18" t="s">
        <v>50</v>
      </c>
      <c r="BC7" s="18" t="s">
        <v>51</v>
      </c>
      <c r="BD7" s="18" t="s">
        <v>52</v>
      </c>
      <c r="BE7" s="18" t="s">
        <v>53</v>
      </c>
      <c r="BF7" s="20" t="s">
        <v>54</v>
      </c>
      <c r="BG7" s="18" t="s">
        <v>55</v>
      </c>
      <c r="BH7" s="43"/>
    </row>
    <row r="8" spans="1:60" x14ac:dyDescent="0.25">
      <c r="A8"/>
      <c r="B8"/>
      <c r="E8" s="39"/>
      <c r="F8" s="24">
        <v>1</v>
      </c>
      <c r="G8" s="14" t="s">
        <v>20</v>
      </c>
      <c r="H8" s="10" t="s">
        <v>3</v>
      </c>
      <c r="I8" s="15">
        <f>COUNTIF($J$6:$AN$6,"sun")</f>
        <v>5</v>
      </c>
      <c r="J8" s="14" t="s">
        <v>57</v>
      </c>
      <c r="K8" s="14" t="str">
        <f t="shared" ref="K8:AN16" si="2">IF(K$6 = "sun","WO","")</f>
        <v>WO</v>
      </c>
      <c r="L8" s="14" t="s">
        <v>57</v>
      </c>
      <c r="M8" s="14" t="s">
        <v>57</v>
      </c>
      <c r="N8" s="14" t="s">
        <v>57</v>
      </c>
      <c r="O8" s="14" t="s">
        <v>57</v>
      </c>
      <c r="P8" s="14" t="s">
        <v>57</v>
      </c>
      <c r="Q8" s="14" t="s">
        <v>57</v>
      </c>
      <c r="R8" s="14" t="str">
        <f t="shared" si="2"/>
        <v>WO</v>
      </c>
      <c r="S8" s="14" t="s">
        <v>57</v>
      </c>
      <c r="T8" s="14" t="s">
        <v>57</v>
      </c>
      <c r="U8" s="14" t="s">
        <v>57</v>
      </c>
      <c r="V8" s="14" t="s">
        <v>57</v>
      </c>
      <c r="W8" s="14" t="s">
        <v>57</v>
      </c>
      <c r="X8" s="14" t="s">
        <v>57</v>
      </c>
      <c r="Y8" s="14" t="str">
        <f t="shared" si="2"/>
        <v>WO</v>
      </c>
      <c r="Z8" s="14" t="s">
        <v>57</v>
      </c>
      <c r="AA8" s="14" t="s">
        <v>57</v>
      </c>
      <c r="AB8" s="14" t="s">
        <v>57</v>
      </c>
      <c r="AC8" s="14" t="s">
        <v>57</v>
      </c>
      <c r="AD8" s="14" t="s">
        <v>57</v>
      </c>
      <c r="AE8" s="14" t="s">
        <v>57</v>
      </c>
      <c r="AF8" s="14" t="str">
        <f t="shared" si="2"/>
        <v>WO</v>
      </c>
      <c r="AG8" s="14" t="s">
        <v>57</v>
      </c>
      <c r="AH8" s="14" t="s">
        <v>57</v>
      </c>
      <c r="AI8" s="14" t="s">
        <v>57</v>
      </c>
      <c r="AJ8" s="14" t="s">
        <v>57</v>
      </c>
      <c r="AK8" s="14" t="s">
        <v>57</v>
      </c>
      <c r="AL8" s="14" t="s">
        <v>57</v>
      </c>
      <c r="AM8" s="14" t="str">
        <f t="shared" si="2"/>
        <v>WO</v>
      </c>
      <c r="AN8" s="32" t="s">
        <v>57</v>
      </c>
      <c r="AO8" s="39"/>
      <c r="AR8" s="43"/>
      <c r="AS8" s="22">
        <v>1</v>
      </c>
      <c r="AT8" s="14" t="s">
        <v>20</v>
      </c>
      <c r="AU8" s="14" t="str">
        <f t="shared" ref="AU8:AU24" si="3">$I$4</f>
        <v>August</v>
      </c>
      <c r="AV8" s="10" t="s">
        <v>3</v>
      </c>
      <c r="AW8" s="22">
        <f t="shared" ref="AW8:AW24" si="4">COUNTIF($J8:$AN8,"P")</f>
        <v>26</v>
      </c>
      <c r="AX8" s="22">
        <f t="shared" ref="AX8:AX24" si="5">COUNTIF($J8:$AN8,"A")</f>
        <v>0</v>
      </c>
      <c r="AY8" s="22">
        <f t="shared" ref="AY8:AY24" si="6">COUNTIF($J8:$AN8,"L")</f>
        <v>0</v>
      </c>
      <c r="AZ8" s="22">
        <f t="shared" ref="AZ8:AZ24" si="7">$I$8</f>
        <v>5</v>
      </c>
      <c r="BA8" s="22">
        <f t="shared" ref="BA8:BA24" si="8">$H$4</f>
        <v>31</v>
      </c>
      <c r="BB8" s="22">
        <f>JanMonthlyReport10[[#This Row],[Days]]-JanMonthlyReport10[[#This Row],[Absent]]</f>
        <v>31</v>
      </c>
      <c r="BC8" s="23">
        <v>100000</v>
      </c>
      <c r="BD8" s="23">
        <f>JanMonthlyReport10[[#This Row],[Basic Salary]]/JanMonthlyReport10[[#This Row],[Days]]</f>
        <v>3225.8064516129034</v>
      </c>
      <c r="BE8" s="23">
        <f>JanMonthlyReport10[[#This Row],[Per Day Salary]]*JanMonthlyReport10[[#This Row],[Absent]]</f>
        <v>0</v>
      </c>
      <c r="BF8" s="26">
        <f>JanMonthlyReport10[[#This Row],[Basic Salary]]-JanMonthlyReport10[[#This Row],[Deduction]]</f>
        <v>100000</v>
      </c>
      <c r="BG8" s="21"/>
      <c r="BH8" s="43"/>
    </row>
    <row r="9" spans="1:60" x14ac:dyDescent="0.25">
      <c r="A9"/>
      <c r="B9"/>
      <c r="E9" s="39"/>
      <c r="F9" s="24">
        <v>2</v>
      </c>
      <c r="G9" s="14" t="s">
        <v>21</v>
      </c>
      <c r="H9" s="10" t="s">
        <v>4</v>
      </c>
      <c r="I9" s="15">
        <f t="shared" ref="I9:I24" si="9">COUNTIF($J$6:$AN$6,"sun")</f>
        <v>5</v>
      </c>
      <c r="J9" s="14" t="s">
        <v>57</v>
      </c>
      <c r="K9" s="14" t="str">
        <f t="shared" si="2"/>
        <v>WO</v>
      </c>
      <c r="L9" s="14" t="s">
        <v>57</v>
      </c>
      <c r="M9" s="14" t="s">
        <v>57</v>
      </c>
      <c r="N9" s="14" t="s">
        <v>57</v>
      </c>
      <c r="O9" s="14" t="s">
        <v>57</v>
      </c>
      <c r="P9" s="14" t="s">
        <v>57</v>
      </c>
      <c r="Q9" s="14" t="s">
        <v>57</v>
      </c>
      <c r="R9" s="14" t="str">
        <f t="shared" si="2"/>
        <v>WO</v>
      </c>
      <c r="S9" s="14" t="s">
        <v>57</v>
      </c>
      <c r="T9" s="14" t="s">
        <v>57</v>
      </c>
      <c r="U9" s="14" t="s">
        <v>57</v>
      </c>
      <c r="V9" s="14" t="s">
        <v>57</v>
      </c>
      <c r="W9" s="14" t="s">
        <v>57</v>
      </c>
      <c r="X9" s="14" t="s">
        <v>57</v>
      </c>
      <c r="Y9" s="14" t="str">
        <f t="shared" si="2"/>
        <v>WO</v>
      </c>
      <c r="Z9" s="14" t="s">
        <v>57</v>
      </c>
      <c r="AA9" s="14" t="s">
        <v>57</v>
      </c>
      <c r="AB9" s="14" t="s">
        <v>57</v>
      </c>
      <c r="AC9" s="14" t="s">
        <v>57</v>
      </c>
      <c r="AD9" s="14" t="s">
        <v>57</v>
      </c>
      <c r="AE9" s="14" t="s">
        <v>57</v>
      </c>
      <c r="AF9" s="14" t="str">
        <f t="shared" si="2"/>
        <v>WO</v>
      </c>
      <c r="AG9" s="14" t="s">
        <v>57</v>
      </c>
      <c r="AH9" s="14" t="s">
        <v>57</v>
      </c>
      <c r="AI9" s="14" t="s">
        <v>57</v>
      </c>
      <c r="AJ9" s="14" t="s">
        <v>57</v>
      </c>
      <c r="AK9" s="14" t="s">
        <v>57</v>
      </c>
      <c r="AL9" s="14" t="s">
        <v>57</v>
      </c>
      <c r="AM9" s="14" t="str">
        <f t="shared" si="2"/>
        <v>WO</v>
      </c>
      <c r="AN9" s="32" t="s">
        <v>57</v>
      </c>
      <c r="AO9" s="39"/>
      <c r="AR9" s="43"/>
      <c r="AS9" s="22">
        <v>2</v>
      </c>
      <c r="AT9" s="14" t="s">
        <v>21</v>
      </c>
      <c r="AU9" s="14" t="str">
        <f t="shared" si="3"/>
        <v>August</v>
      </c>
      <c r="AV9" s="10" t="s">
        <v>4</v>
      </c>
      <c r="AW9" s="22">
        <f t="shared" si="4"/>
        <v>26</v>
      </c>
      <c r="AX9" s="22">
        <f t="shared" si="5"/>
        <v>0</v>
      </c>
      <c r="AY9" s="22">
        <f t="shared" si="6"/>
        <v>0</v>
      </c>
      <c r="AZ9" s="22">
        <f t="shared" si="7"/>
        <v>5</v>
      </c>
      <c r="BA9" s="22">
        <f t="shared" si="8"/>
        <v>31</v>
      </c>
      <c r="BB9" s="22">
        <f>JanMonthlyReport10[[#This Row],[Days]]-JanMonthlyReport10[[#This Row],[Absent]]</f>
        <v>31</v>
      </c>
      <c r="BC9" s="23">
        <v>70000</v>
      </c>
      <c r="BD9" s="23">
        <f>JanMonthlyReport10[[#This Row],[Basic Salary]]/JanMonthlyReport10[[#This Row],[Days]]</f>
        <v>2258.0645161290322</v>
      </c>
      <c r="BE9" s="23">
        <f>JanMonthlyReport10[[#This Row],[Per Day Salary]]*JanMonthlyReport10[[#This Row],[Absent]]</f>
        <v>0</v>
      </c>
      <c r="BF9" s="26">
        <f>JanMonthlyReport10[[#This Row],[Basic Salary]]-JanMonthlyReport10[[#This Row],[Deduction]]</f>
        <v>70000</v>
      </c>
      <c r="BG9" s="21"/>
      <c r="BH9" s="43"/>
    </row>
    <row r="10" spans="1:60" x14ac:dyDescent="0.25">
      <c r="A10"/>
      <c r="B10"/>
      <c r="E10" s="39"/>
      <c r="F10" s="24">
        <v>3</v>
      </c>
      <c r="G10" s="14" t="s">
        <v>22</v>
      </c>
      <c r="H10" s="10" t="s">
        <v>5</v>
      </c>
      <c r="I10" s="15">
        <f t="shared" si="9"/>
        <v>5</v>
      </c>
      <c r="J10" s="14" t="s">
        <v>57</v>
      </c>
      <c r="K10" s="14" t="str">
        <f t="shared" si="2"/>
        <v>WO</v>
      </c>
      <c r="L10" s="14" t="s">
        <v>57</v>
      </c>
      <c r="M10" s="14" t="s">
        <v>57</v>
      </c>
      <c r="N10" s="14" t="s">
        <v>57</v>
      </c>
      <c r="O10" s="14" t="s">
        <v>57</v>
      </c>
      <c r="P10" s="14" t="s">
        <v>57</v>
      </c>
      <c r="Q10" s="14" t="s">
        <v>57</v>
      </c>
      <c r="R10" s="14" t="str">
        <f t="shared" si="2"/>
        <v>WO</v>
      </c>
      <c r="S10" s="14" t="s">
        <v>57</v>
      </c>
      <c r="T10" s="14" t="s">
        <v>57</v>
      </c>
      <c r="U10" s="14" t="s">
        <v>57</v>
      </c>
      <c r="V10" s="14" t="s">
        <v>57</v>
      </c>
      <c r="W10" s="14" t="s">
        <v>57</v>
      </c>
      <c r="X10" s="14" t="s">
        <v>57</v>
      </c>
      <c r="Y10" s="14" t="str">
        <f t="shared" si="2"/>
        <v>WO</v>
      </c>
      <c r="Z10" s="14" t="s">
        <v>59</v>
      </c>
      <c r="AA10" s="14" t="s">
        <v>57</v>
      </c>
      <c r="AB10" s="14" t="s">
        <v>57</v>
      </c>
      <c r="AC10" s="14" t="s">
        <v>57</v>
      </c>
      <c r="AD10" s="14" t="s">
        <v>57</v>
      </c>
      <c r="AE10" s="14" t="s">
        <v>57</v>
      </c>
      <c r="AF10" s="14" t="str">
        <f t="shared" si="2"/>
        <v>WO</v>
      </c>
      <c r="AG10" s="14" t="s">
        <v>57</v>
      </c>
      <c r="AH10" s="14" t="s">
        <v>57</v>
      </c>
      <c r="AI10" s="14" t="s">
        <v>57</v>
      </c>
      <c r="AJ10" s="14" t="s">
        <v>57</v>
      </c>
      <c r="AK10" s="14" t="s">
        <v>57</v>
      </c>
      <c r="AL10" s="14" t="s">
        <v>57</v>
      </c>
      <c r="AM10" s="14" t="str">
        <f t="shared" si="2"/>
        <v>WO</v>
      </c>
      <c r="AN10" s="32" t="s">
        <v>57</v>
      </c>
      <c r="AO10" s="39"/>
      <c r="AR10" s="43"/>
      <c r="AS10" s="22">
        <v>3</v>
      </c>
      <c r="AT10" s="14" t="s">
        <v>22</v>
      </c>
      <c r="AU10" s="14" t="str">
        <f t="shared" si="3"/>
        <v>August</v>
      </c>
      <c r="AV10" s="10" t="s">
        <v>5</v>
      </c>
      <c r="AW10" s="22">
        <f t="shared" si="4"/>
        <v>25</v>
      </c>
      <c r="AX10" s="22">
        <f t="shared" si="5"/>
        <v>1</v>
      </c>
      <c r="AY10" s="22">
        <f t="shared" si="6"/>
        <v>0</v>
      </c>
      <c r="AZ10" s="22">
        <f t="shared" si="7"/>
        <v>5</v>
      </c>
      <c r="BA10" s="22">
        <f t="shared" si="8"/>
        <v>31</v>
      </c>
      <c r="BB10" s="22">
        <f>JanMonthlyReport10[[#This Row],[Days]]-JanMonthlyReport10[[#This Row],[Absent]]</f>
        <v>30</v>
      </c>
      <c r="BC10" s="23">
        <v>80000</v>
      </c>
      <c r="BD10" s="23">
        <f>JanMonthlyReport10[[#This Row],[Basic Salary]]/JanMonthlyReport10[[#This Row],[Days]]</f>
        <v>2580.6451612903224</v>
      </c>
      <c r="BE10" s="23">
        <f>JanMonthlyReport10[[#This Row],[Per Day Salary]]*JanMonthlyReport10[[#This Row],[Absent]]</f>
        <v>2580.6451612903224</v>
      </c>
      <c r="BF10" s="26">
        <f>JanMonthlyReport10[[#This Row],[Basic Salary]]-JanMonthlyReport10[[#This Row],[Deduction]]</f>
        <v>77419.354838709682</v>
      </c>
      <c r="BG10" s="21"/>
      <c r="BH10" s="43"/>
    </row>
    <row r="11" spans="1:60" x14ac:dyDescent="0.25">
      <c r="A11"/>
      <c r="B11"/>
      <c r="E11" s="39"/>
      <c r="F11" s="24">
        <v>4</v>
      </c>
      <c r="G11" s="14" t="s">
        <v>23</v>
      </c>
      <c r="H11" s="10" t="s">
        <v>6</v>
      </c>
      <c r="I11" s="15">
        <f t="shared" si="9"/>
        <v>5</v>
      </c>
      <c r="J11" s="14" t="s">
        <v>57</v>
      </c>
      <c r="K11" s="14" t="str">
        <f t="shared" si="2"/>
        <v>WO</v>
      </c>
      <c r="L11" s="14" t="s">
        <v>57</v>
      </c>
      <c r="M11" s="14" t="s">
        <v>57</v>
      </c>
      <c r="N11" s="14" t="s">
        <v>57</v>
      </c>
      <c r="O11" s="14" t="s">
        <v>57</v>
      </c>
      <c r="P11" s="14" t="s">
        <v>57</v>
      </c>
      <c r="Q11" s="14" t="s">
        <v>57</v>
      </c>
      <c r="R11" s="14" t="str">
        <f t="shared" si="2"/>
        <v>WO</v>
      </c>
      <c r="S11" s="14" t="s">
        <v>57</v>
      </c>
      <c r="T11" s="14" t="s">
        <v>57</v>
      </c>
      <c r="U11" s="14" t="s">
        <v>57</v>
      </c>
      <c r="V11" s="14" t="s">
        <v>57</v>
      </c>
      <c r="W11" s="14" t="s">
        <v>57</v>
      </c>
      <c r="X11" s="14" t="s">
        <v>57</v>
      </c>
      <c r="Y11" s="14" t="str">
        <f t="shared" si="2"/>
        <v>WO</v>
      </c>
      <c r="Z11" s="14" t="s">
        <v>57</v>
      </c>
      <c r="AA11" s="14" t="s">
        <v>57</v>
      </c>
      <c r="AB11" s="14" t="s">
        <v>57</v>
      </c>
      <c r="AC11" s="14" t="s">
        <v>57</v>
      </c>
      <c r="AD11" s="14" t="s">
        <v>57</v>
      </c>
      <c r="AE11" s="14" t="s">
        <v>57</v>
      </c>
      <c r="AF11" s="14" t="str">
        <f t="shared" si="2"/>
        <v>WO</v>
      </c>
      <c r="AG11" s="14" t="s">
        <v>57</v>
      </c>
      <c r="AH11" s="14" t="s">
        <v>57</v>
      </c>
      <c r="AI11" s="14" t="s">
        <v>57</v>
      </c>
      <c r="AJ11" s="14" t="s">
        <v>57</v>
      </c>
      <c r="AK11" s="14" t="s">
        <v>57</v>
      </c>
      <c r="AL11" s="14" t="s">
        <v>57</v>
      </c>
      <c r="AM11" s="14" t="str">
        <f t="shared" si="2"/>
        <v>WO</v>
      </c>
      <c r="AN11" s="32" t="s">
        <v>57</v>
      </c>
      <c r="AO11" s="39"/>
      <c r="AR11" s="43"/>
      <c r="AS11" s="22">
        <v>4</v>
      </c>
      <c r="AT11" s="14" t="s">
        <v>23</v>
      </c>
      <c r="AU11" s="14" t="str">
        <f t="shared" si="3"/>
        <v>August</v>
      </c>
      <c r="AV11" s="10" t="s">
        <v>6</v>
      </c>
      <c r="AW11" s="22">
        <f t="shared" si="4"/>
        <v>26</v>
      </c>
      <c r="AX11" s="22">
        <f t="shared" si="5"/>
        <v>0</v>
      </c>
      <c r="AY11" s="22">
        <f t="shared" si="6"/>
        <v>0</v>
      </c>
      <c r="AZ11" s="22">
        <f t="shared" si="7"/>
        <v>5</v>
      </c>
      <c r="BA11" s="22">
        <f t="shared" si="8"/>
        <v>31</v>
      </c>
      <c r="BB11" s="22">
        <f>JanMonthlyReport10[[#This Row],[Days]]-JanMonthlyReport10[[#This Row],[Absent]]</f>
        <v>31</v>
      </c>
      <c r="BC11" s="23">
        <v>75000</v>
      </c>
      <c r="BD11" s="23">
        <f>JanMonthlyReport10[[#This Row],[Basic Salary]]/JanMonthlyReport10[[#This Row],[Days]]</f>
        <v>2419.3548387096776</v>
      </c>
      <c r="BE11" s="23">
        <f>JanMonthlyReport10[[#This Row],[Per Day Salary]]*JanMonthlyReport10[[#This Row],[Absent]]</f>
        <v>0</v>
      </c>
      <c r="BF11" s="26">
        <f>JanMonthlyReport10[[#This Row],[Basic Salary]]-JanMonthlyReport10[[#This Row],[Deduction]]</f>
        <v>75000</v>
      </c>
      <c r="BG11" s="21"/>
      <c r="BH11" s="43"/>
    </row>
    <row r="12" spans="1:60" x14ac:dyDescent="0.25">
      <c r="A12"/>
      <c r="B12"/>
      <c r="E12" s="39"/>
      <c r="F12" s="24">
        <v>5</v>
      </c>
      <c r="G12" s="14" t="s">
        <v>24</v>
      </c>
      <c r="H12" s="10" t="s">
        <v>7</v>
      </c>
      <c r="I12" s="15">
        <f t="shared" si="9"/>
        <v>5</v>
      </c>
      <c r="J12" s="14" t="s">
        <v>57</v>
      </c>
      <c r="K12" s="14" t="str">
        <f t="shared" si="2"/>
        <v>WO</v>
      </c>
      <c r="L12" s="14" t="s">
        <v>57</v>
      </c>
      <c r="M12" s="14" t="s">
        <v>57</v>
      </c>
      <c r="N12" s="14" t="s">
        <v>57</v>
      </c>
      <c r="O12" s="14" t="s">
        <v>57</v>
      </c>
      <c r="P12" s="14" t="s">
        <v>57</v>
      </c>
      <c r="Q12" s="14" t="s">
        <v>57</v>
      </c>
      <c r="R12" s="14" t="str">
        <f t="shared" si="2"/>
        <v>WO</v>
      </c>
      <c r="S12" s="14" t="s">
        <v>57</v>
      </c>
      <c r="T12" s="14" t="s">
        <v>57</v>
      </c>
      <c r="U12" s="14" t="s">
        <v>57</v>
      </c>
      <c r="V12" s="14" t="s">
        <v>57</v>
      </c>
      <c r="W12" s="14" t="s">
        <v>57</v>
      </c>
      <c r="X12" s="14" t="s">
        <v>57</v>
      </c>
      <c r="Y12" s="14" t="str">
        <f t="shared" si="2"/>
        <v>WO</v>
      </c>
      <c r="Z12" s="14" t="s">
        <v>57</v>
      </c>
      <c r="AA12" s="14" t="s">
        <v>57</v>
      </c>
      <c r="AB12" s="14" t="s">
        <v>57</v>
      </c>
      <c r="AC12" s="14" t="s">
        <v>57</v>
      </c>
      <c r="AD12" s="14" t="s">
        <v>57</v>
      </c>
      <c r="AE12" s="14" t="s">
        <v>57</v>
      </c>
      <c r="AF12" s="14" t="str">
        <f t="shared" si="2"/>
        <v>WO</v>
      </c>
      <c r="AG12" s="14" t="s">
        <v>57</v>
      </c>
      <c r="AH12" s="14" t="s">
        <v>57</v>
      </c>
      <c r="AI12" s="14" t="s">
        <v>57</v>
      </c>
      <c r="AJ12" s="14" t="s">
        <v>57</v>
      </c>
      <c r="AK12" s="14" t="s">
        <v>57</v>
      </c>
      <c r="AL12" s="14" t="s">
        <v>57</v>
      </c>
      <c r="AM12" s="14" t="str">
        <f t="shared" si="2"/>
        <v>WO</v>
      </c>
      <c r="AN12" s="32" t="s">
        <v>57</v>
      </c>
      <c r="AO12" s="39"/>
      <c r="AR12" s="43"/>
      <c r="AS12" s="22">
        <v>5</v>
      </c>
      <c r="AT12" s="14" t="s">
        <v>24</v>
      </c>
      <c r="AU12" s="14" t="str">
        <f t="shared" si="3"/>
        <v>August</v>
      </c>
      <c r="AV12" s="10" t="s">
        <v>7</v>
      </c>
      <c r="AW12" s="22">
        <f t="shared" si="4"/>
        <v>26</v>
      </c>
      <c r="AX12" s="22">
        <f t="shared" si="5"/>
        <v>0</v>
      </c>
      <c r="AY12" s="22">
        <f t="shared" si="6"/>
        <v>0</v>
      </c>
      <c r="AZ12" s="22">
        <f t="shared" si="7"/>
        <v>5</v>
      </c>
      <c r="BA12" s="22">
        <f t="shared" si="8"/>
        <v>31</v>
      </c>
      <c r="BB12" s="22">
        <f>JanMonthlyReport10[[#This Row],[Days]]-JanMonthlyReport10[[#This Row],[Absent]]</f>
        <v>31</v>
      </c>
      <c r="BC12" s="23">
        <v>16000</v>
      </c>
      <c r="BD12" s="23">
        <f>JanMonthlyReport10[[#This Row],[Basic Salary]]/JanMonthlyReport10[[#This Row],[Days]]</f>
        <v>516.12903225806451</v>
      </c>
      <c r="BE12" s="23">
        <f>JanMonthlyReport10[[#This Row],[Per Day Salary]]*JanMonthlyReport10[[#This Row],[Absent]]</f>
        <v>0</v>
      </c>
      <c r="BF12" s="26">
        <f>JanMonthlyReport10[[#This Row],[Basic Salary]]-JanMonthlyReport10[[#This Row],[Deduction]]</f>
        <v>16000</v>
      </c>
      <c r="BG12" s="21"/>
      <c r="BH12" s="43"/>
    </row>
    <row r="13" spans="1:60" x14ac:dyDescent="0.25">
      <c r="A13"/>
      <c r="B13"/>
      <c r="E13" s="39"/>
      <c r="F13" s="24">
        <v>6</v>
      </c>
      <c r="G13" s="14" t="s">
        <v>25</v>
      </c>
      <c r="H13" s="10" t="s">
        <v>8</v>
      </c>
      <c r="I13" s="15">
        <f t="shared" si="9"/>
        <v>5</v>
      </c>
      <c r="J13" s="14" t="s">
        <v>57</v>
      </c>
      <c r="K13" s="14" t="str">
        <f t="shared" si="2"/>
        <v>WO</v>
      </c>
      <c r="L13" s="14" t="s">
        <v>57</v>
      </c>
      <c r="M13" s="14" t="s">
        <v>57</v>
      </c>
      <c r="N13" s="14" t="s">
        <v>57</v>
      </c>
      <c r="O13" s="14" t="s">
        <v>57</v>
      </c>
      <c r="P13" s="14" t="s">
        <v>57</v>
      </c>
      <c r="Q13" s="14" t="s">
        <v>57</v>
      </c>
      <c r="R13" s="14" t="str">
        <f t="shared" si="2"/>
        <v>WO</v>
      </c>
      <c r="S13" s="14" t="s">
        <v>57</v>
      </c>
      <c r="T13" s="14" t="s">
        <v>57</v>
      </c>
      <c r="U13" s="14" t="s">
        <v>57</v>
      </c>
      <c r="V13" s="14" t="s">
        <v>57</v>
      </c>
      <c r="W13" s="14" t="s">
        <v>57</v>
      </c>
      <c r="X13" s="14" t="s">
        <v>57</v>
      </c>
      <c r="Y13" s="14" t="str">
        <f t="shared" si="2"/>
        <v>WO</v>
      </c>
      <c r="Z13" s="14" t="s">
        <v>57</v>
      </c>
      <c r="AA13" s="14" t="s">
        <v>57</v>
      </c>
      <c r="AB13" s="14" t="s">
        <v>57</v>
      </c>
      <c r="AC13" s="14" t="s">
        <v>57</v>
      </c>
      <c r="AD13" s="14" t="s">
        <v>57</v>
      </c>
      <c r="AE13" s="14" t="s">
        <v>57</v>
      </c>
      <c r="AF13" s="14" t="str">
        <f t="shared" si="2"/>
        <v>WO</v>
      </c>
      <c r="AG13" s="14" t="s">
        <v>57</v>
      </c>
      <c r="AH13" s="14" t="s">
        <v>57</v>
      </c>
      <c r="AI13" s="14" t="s">
        <v>57</v>
      </c>
      <c r="AJ13" s="14" t="s">
        <v>57</v>
      </c>
      <c r="AK13" s="14" t="s">
        <v>57</v>
      </c>
      <c r="AL13" s="14" t="s">
        <v>57</v>
      </c>
      <c r="AM13" s="14" t="str">
        <f t="shared" si="2"/>
        <v>WO</v>
      </c>
      <c r="AN13" s="32" t="s">
        <v>57</v>
      </c>
      <c r="AO13" s="39"/>
      <c r="AR13" s="43"/>
      <c r="AS13" s="22">
        <v>6</v>
      </c>
      <c r="AT13" s="14" t="s">
        <v>25</v>
      </c>
      <c r="AU13" s="14" t="str">
        <f t="shared" si="3"/>
        <v>August</v>
      </c>
      <c r="AV13" s="10" t="s">
        <v>8</v>
      </c>
      <c r="AW13" s="22">
        <f t="shared" si="4"/>
        <v>26</v>
      </c>
      <c r="AX13" s="22">
        <f t="shared" si="5"/>
        <v>0</v>
      </c>
      <c r="AY13" s="22">
        <f t="shared" si="6"/>
        <v>0</v>
      </c>
      <c r="AZ13" s="22">
        <f t="shared" si="7"/>
        <v>5</v>
      </c>
      <c r="BA13" s="22">
        <f t="shared" si="8"/>
        <v>31</v>
      </c>
      <c r="BB13" s="22">
        <f>JanMonthlyReport10[[#This Row],[Days]]-JanMonthlyReport10[[#This Row],[Absent]]</f>
        <v>31</v>
      </c>
      <c r="BC13" s="23">
        <v>12000</v>
      </c>
      <c r="BD13" s="23">
        <f>JanMonthlyReport10[[#This Row],[Basic Salary]]/JanMonthlyReport10[[#This Row],[Days]]</f>
        <v>387.09677419354841</v>
      </c>
      <c r="BE13" s="23">
        <f>JanMonthlyReport10[[#This Row],[Per Day Salary]]*JanMonthlyReport10[[#This Row],[Absent]]</f>
        <v>0</v>
      </c>
      <c r="BF13" s="26">
        <f>JanMonthlyReport10[[#This Row],[Basic Salary]]-JanMonthlyReport10[[#This Row],[Deduction]]</f>
        <v>12000</v>
      </c>
      <c r="BG13" s="21"/>
      <c r="BH13" s="43"/>
    </row>
    <row r="14" spans="1:60" x14ac:dyDescent="0.25">
      <c r="A14"/>
      <c r="B14"/>
      <c r="E14" s="39"/>
      <c r="F14" s="24">
        <v>7</v>
      </c>
      <c r="G14" s="14" t="s">
        <v>26</v>
      </c>
      <c r="H14" s="10" t="s">
        <v>9</v>
      </c>
      <c r="I14" s="15">
        <f t="shared" si="9"/>
        <v>5</v>
      </c>
      <c r="J14" s="14" t="s">
        <v>57</v>
      </c>
      <c r="K14" s="14" t="str">
        <f t="shared" si="2"/>
        <v>WO</v>
      </c>
      <c r="L14" s="14" t="s">
        <v>57</v>
      </c>
      <c r="M14" s="14" t="s">
        <v>57</v>
      </c>
      <c r="N14" s="14" t="s">
        <v>57</v>
      </c>
      <c r="O14" s="14" t="s">
        <v>57</v>
      </c>
      <c r="P14" s="14" t="s">
        <v>57</v>
      </c>
      <c r="Q14" s="14" t="s">
        <v>57</v>
      </c>
      <c r="R14" s="14" t="str">
        <f t="shared" si="2"/>
        <v>WO</v>
      </c>
      <c r="S14" s="14" t="s">
        <v>57</v>
      </c>
      <c r="T14" s="14" t="s">
        <v>57</v>
      </c>
      <c r="U14" s="14" t="s">
        <v>57</v>
      </c>
      <c r="V14" s="14" t="s">
        <v>57</v>
      </c>
      <c r="W14" s="14" t="s">
        <v>57</v>
      </c>
      <c r="X14" s="14" t="s">
        <v>57</v>
      </c>
      <c r="Y14" s="14" t="str">
        <f t="shared" si="2"/>
        <v>WO</v>
      </c>
      <c r="Z14" s="14" t="s">
        <v>57</v>
      </c>
      <c r="AA14" s="14" t="s">
        <v>57</v>
      </c>
      <c r="AB14" s="14" t="s">
        <v>57</v>
      </c>
      <c r="AC14" s="14" t="s">
        <v>57</v>
      </c>
      <c r="AD14" s="14" t="s">
        <v>57</v>
      </c>
      <c r="AE14" s="14" t="s">
        <v>57</v>
      </c>
      <c r="AF14" s="14" t="str">
        <f t="shared" si="2"/>
        <v>WO</v>
      </c>
      <c r="AG14" s="14" t="s">
        <v>57</v>
      </c>
      <c r="AH14" s="14" t="s">
        <v>57</v>
      </c>
      <c r="AI14" s="14" t="s">
        <v>57</v>
      </c>
      <c r="AJ14" s="14" t="s">
        <v>57</v>
      </c>
      <c r="AK14" s="14" t="s">
        <v>57</v>
      </c>
      <c r="AL14" s="14" t="s">
        <v>57</v>
      </c>
      <c r="AM14" s="14" t="str">
        <f t="shared" si="2"/>
        <v>WO</v>
      </c>
      <c r="AN14" s="32" t="s">
        <v>57</v>
      </c>
      <c r="AO14" s="39"/>
      <c r="AR14" s="43"/>
      <c r="AS14" s="22">
        <v>7</v>
      </c>
      <c r="AT14" s="14" t="s">
        <v>26</v>
      </c>
      <c r="AU14" s="14" t="str">
        <f t="shared" si="3"/>
        <v>August</v>
      </c>
      <c r="AV14" s="10" t="s">
        <v>9</v>
      </c>
      <c r="AW14" s="22">
        <f t="shared" si="4"/>
        <v>26</v>
      </c>
      <c r="AX14" s="22">
        <f t="shared" si="5"/>
        <v>0</v>
      </c>
      <c r="AY14" s="22">
        <f t="shared" si="6"/>
        <v>0</v>
      </c>
      <c r="AZ14" s="22">
        <f t="shared" si="7"/>
        <v>5</v>
      </c>
      <c r="BA14" s="22">
        <f t="shared" si="8"/>
        <v>31</v>
      </c>
      <c r="BB14" s="22">
        <f>JanMonthlyReport10[[#This Row],[Days]]-JanMonthlyReport10[[#This Row],[Absent]]</f>
        <v>31</v>
      </c>
      <c r="BC14" s="23">
        <v>13000</v>
      </c>
      <c r="BD14" s="23">
        <f>JanMonthlyReport10[[#This Row],[Basic Salary]]/JanMonthlyReport10[[#This Row],[Days]]</f>
        <v>419.35483870967744</v>
      </c>
      <c r="BE14" s="23">
        <f>JanMonthlyReport10[[#This Row],[Per Day Salary]]*JanMonthlyReport10[[#This Row],[Absent]]</f>
        <v>0</v>
      </c>
      <c r="BF14" s="26">
        <f>JanMonthlyReport10[[#This Row],[Basic Salary]]-JanMonthlyReport10[[#This Row],[Deduction]]</f>
        <v>13000</v>
      </c>
      <c r="BG14" s="21"/>
      <c r="BH14" s="43"/>
    </row>
    <row r="15" spans="1:60" x14ac:dyDescent="0.25">
      <c r="A15"/>
      <c r="B15"/>
      <c r="E15" s="39"/>
      <c r="F15" s="24">
        <v>8</v>
      </c>
      <c r="G15" s="14" t="s">
        <v>27</v>
      </c>
      <c r="H15" s="10" t="s">
        <v>11</v>
      </c>
      <c r="I15" s="15">
        <f t="shared" si="9"/>
        <v>5</v>
      </c>
      <c r="J15" s="14" t="s">
        <v>57</v>
      </c>
      <c r="K15" s="14" t="str">
        <f t="shared" si="2"/>
        <v>WO</v>
      </c>
      <c r="L15" s="14" t="s">
        <v>57</v>
      </c>
      <c r="M15" s="14" t="s">
        <v>57</v>
      </c>
      <c r="N15" s="14" t="s">
        <v>57</v>
      </c>
      <c r="O15" s="14" t="s">
        <v>57</v>
      </c>
      <c r="P15" s="14" t="s">
        <v>59</v>
      </c>
      <c r="Q15" s="14" t="s">
        <v>57</v>
      </c>
      <c r="R15" s="14" t="str">
        <f t="shared" si="2"/>
        <v>WO</v>
      </c>
      <c r="S15" s="14" t="s">
        <v>57</v>
      </c>
      <c r="T15" s="14" t="s">
        <v>57</v>
      </c>
      <c r="U15" s="14" t="s">
        <v>57</v>
      </c>
      <c r="V15" s="14" t="s">
        <v>57</v>
      </c>
      <c r="W15" s="14" t="s">
        <v>57</v>
      </c>
      <c r="X15" s="14" t="s">
        <v>57</v>
      </c>
      <c r="Y15" s="14" t="str">
        <f t="shared" si="2"/>
        <v>WO</v>
      </c>
      <c r="Z15" s="14" t="s">
        <v>57</v>
      </c>
      <c r="AA15" s="14" t="s">
        <v>57</v>
      </c>
      <c r="AB15" s="14" t="s">
        <v>57</v>
      </c>
      <c r="AC15" s="14" t="s">
        <v>57</v>
      </c>
      <c r="AD15" s="14" t="s">
        <v>57</v>
      </c>
      <c r="AE15" s="14" t="s">
        <v>57</v>
      </c>
      <c r="AF15" s="14" t="str">
        <f t="shared" si="2"/>
        <v>WO</v>
      </c>
      <c r="AG15" s="14" t="s">
        <v>57</v>
      </c>
      <c r="AH15" s="14" t="s">
        <v>57</v>
      </c>
      <c r="AI15" s="14" t="s">
        <v>57</v>
      </c>
      <c r="AJ15" s="14" t="s">
        <v>57</v>
      </c>
      <c r="AK15" s="14" t="s">
        <v>57</v>
      </c>
      <c r="AL15" s="14" t="s">
        <v>57</v>
      </c>
      <c r="AM15" s="14" t="str">
        <f t="shared" si="2"/>
        <v>WO</v>
      </c>
      <c r="AN15" s="32" t="s">
        <v>57</v>
      </c>
      <c r="AO15" s="39"/>
      <c r="AR15" s="43"/>
      <c r="AS15" s="22">
        <v>8</v>
      </c>
      <c r="AT15" s="14" t="s">
        <v>27</v>
      </c>
      <c r="AU15" s="14" t="str">
        <f t="shared" si="3"/>
        <v>August</v>
      </c>
      <c r="AV15" s="10" t="s">
        <v>11</v>
      </c>
      <c r="AW15" s="22">
        <f t="shared" si="4"/>
        <v>25</v>
      </c>
      <c r="AX15" s="22">
        <f t="shared" si="5"/>
        <v>1</v>
      </c>
      <c r="AY15" s="22">
        <f t="shared" si="6"/>
        <v>0</v>
      </c>
      <c r="AZ15" s="22">
        <f t="shared" si="7"/>
        <v>5</v>
      </c>
      <c r="BA15" s="22">
        <f t="shared" si="8"/>
        <v>31</v>
      </c>
      <c r="BB15" s="22">
        <f>JanMonthlyReport10[[#This Row],[Days]]-JanMonthlyReport10[[#This Row],[Absent]]</f>
        <v>30</v>
      </c>
      <c r="BC15" s="23">
        <v>8000</v>
      </c>
      <c r="BD15" s="23">
        <f>JanMonthlyReport10[[#This Row],[Basic Salary]]/JanMonthlyReport10[[#This Row],[Days]]</f>
        <v>258.06451612903226</v>
      </c>
      <c r="BE15" s="23">
        <f>JanMonthlyReport10[[#This Row],[Per Day Salary]]*JanMonthlyReport10[[#This Row],[Absent]]</f>
        <v>258.06451612903226</v>
      </c>
      <c r="BF15" s="26">
        <f>JanMonthlyReport10[[#This Row],[Basic Salary]]-JanMonthlyReport10[[#This Row],[Deduction]]</f>
        <v>7741.9354838709678</v>
      </c>
      <c r="BG15" s="21"/>
      <c r="BH15" s="43"/>
    </row>
    <row r="16" spans="1:60" x14ac:dyDescent="0.25">
      <c r="A16"/>
      <c r="B16"/>
      <c r="E16" s="39"/>
      <c r="F16" s="24">
        <v>9</v>
      </c>
      <c r="G16" s="14" t="s">
        <v>28</v>
      </c>
      <c r="H16" s="10" t="s">
        <v>10</v>
      </c>
      <c r="I16" s="15">
        <f t="shared" si="9"/>
        <v>5</v>
      </c>
      <c r="J16" s="14" t="s">
        <v>57</v>
      </c>
      <c r="K16" s="14" t="str">
        <f t="shared" si="2"/>
        <v>WO</v>
      </c>
      <c r="L16" s="14" t="s">
        <v>57</v>
      </c>
      <c r="M16" s="14" t="s">
        <v>57</v>
      </c>
      <c r="N16" s="14" t="s">
        <v>57</v>
      </c>
      <c r="O16" s="14" t="s">
        <v>57</v>
      </c>
      <c r="P16" s="14" t="s">
        <v>57</v>
      </c>
      <c r="Q16" s="14" t="s">
        <v>57</v>
      </c>
      <c r="R16" s="14" t="str">
        <f t="shared" si="2"/>
        <v>WO</v>
      </c>
      <c r="S16" s="14" t="s">
        <v>57</v>
      </c>
      <c r="T16" s="14" t="s">
        <v>57</v>
      </c>
      <c r="U16" s="14" t="s">
        <v>57</v>
      </c>
      <c r="V16" s="14" t="s">
        <v>57</v>
      </c>
      <c r="W16" s="14" t="s">
        <v>57</v>
      </c>
      <c r="X16" s="14" t="s">
        <v>57</v>
      </c>
      <c r="Y16" s="14" t="str">
        <f t="shared" si="2"/>
        <v>WO</v>
      </c>
      <c r="Z16" s="14" t="s">
        <v>57</v>
      </c>
      <c r="AA16" s="14" t="s">
        <v>57</v>
      </c>
      <c r="AB16" s="14" t="s">
        <v>57</v>
      </c>
      <c r="AC16" s="14" t="s">
        <v>57</v>
      </c>
      <c r="AD16" s="14" t="s">
        <v>57</v>
      </c>
      <c r="AE16" s="14" t="s">
        <v>57</v>
      </c>
      <c r="AF16" s="14" t="str">
        <f t="shared" ref="Z16:AN24" si="10">IF(AF$6 = "sun","WO","")</f>
        <v>WO</v>
      </c>
      <c r="AG16" s="14" t="s">
        <v>57</v>
      </c>
      <c r="AH16" s="14" t="s">
        <v>57</v>
      </c>
      <c r="AI16" s="14" t="s">
        <v>57</v>
      </c>
      <c r="AJ16" s="14" t="s">
        <v>57</v>
      </c>
      <c r="AK16" s="14" t="s">
        <v>57</v>
      </c>
      <c r="AL16" s="14" t="s">
        <v>57</v>
      </c>
      <c r="AM16" s="14" t="str">
        <f t="shared" si="10"/>
        <v>WO</v>
      </c>
      <c r="AN16" s="32" t="s">
        <v>57</v>
      </c>
      <c r="AO16" s="39"/>
      <c r="AR16" s="43"/>
      <c r="AS16" s="22">
        <v>9</v>
      </c>
      <c r="AT16" s="14" t="s">
        <v>28</v>
      </c>
      <c r="AU16" s="14" t="str">
        <f t="shared" si="3"/>
        <v>August</v>
      </c>
      <c r="AV16" s="10" t="s">
        <v>10</v>
      </c>
      <c r="AW16" s="22">
        <f t="shared" si="4"/>
        <v>26</v>
      </c>
      <c r="AX16" s="22">
        <f t="shared" si="5"/>
        <v>0</v>
      </c>
      <c r="AY16" s="22">
        <f t="shared" si="6"/>
        <v>0</v>
      </c>
      <c r="AZ16" s="22">
        <f t="shared" si="7"/>
        <v>5</v>
      </c>
      <c r="BA16" s="22">
        <f t="shared" si="8"/>
        <v>31</v>
      </c>
      <c r="BB16" s="22">
        <f>JanMonthlyReport10[[#This Row],[Days]]-JanMonthlyReport10[[#This Row],[Absent]]</f>
        <v>31</v>
      </c>
      <c r="BC16" s="23">
        <v>10000</v>
      </c>
      <c r="BD16" s="23">
        <f>JanMonthlyReport10[[#This Row],[Basic Salary]]/JanMonthlyReport10[[#This Row],[Days]]</f>
        <v>322.58064516129031</v>
      </c>
      <c r="BE16" s="23">
        <f>JanMonthlyReport10[[#This Row],[Per Day Salary]]*JanMonthlyReport10[[#This Row],[Absent]]</f>
        <v>0</v>
      </c>
      <c r="BF16" s="26">
        <f>JanMonthlyReport10[[#This Row],[Basic Salary]]-JanMonthlyReport10[[#This Row],[Deduction]]</f>
        <v>10000</v>
      </c>
      <c r="BG16" s="21"/>
      <c r="BH16" s="43"/>
    </row>
    <row r="17" spans="1:60" x14ac:dyDescent="0.25">
      <c r="A17"/>
      <c r="B17"/>
      <c r="E17" s="39"/>
      <c r="F17" s="24">
        <v>10</v>
      </c>
      <c r="G17" s="14" t="s">
        <v>29</v>
      </c>
      <c r="H17" s="10" t="s">
        <v>12</v>
      </c>
      <c r="I17" s="15">
        <f t="shared" si="9"/>
        <v>5</v>
      </c>
      <c r="J17" s="14" t="s">
        <v>57</v>
      </c>
      <c r="K17" s="14" t="str">
        <f t="shared" ref="J9:Y24" si="11">IF(K$6 = "sun","WO","")</f>
        <v>WO</v>
      </c>
      <c r="L17" s="14" t="s">
        <v>57</v>
      </c>
      <c r="M17" s="14" t="s">
        <v>57</v>
      </c>
      <c r="N17" s="14" t="s">
        <v>57</v>
      </c>
      <c r="O17" s="14" t="s">
        <v>57</v>
      </c>
      <c r="P17" s="14" t="s">
        <v>57</v>
      </c>
      <c r="Q17" s="14" t="s">
        <v>57</v>
      </c>
      <c r="R17" s="14" t="str">
        <f t="shared" si="11"/>
        <v>WO</v>
      </c>
      <c r="S17" s="14" t="s">
        <v>57</v>
      </c>
      <c r="T17" s="14" t="s">
        <v>57</v>
      </c>
      <c r="U17" s="14" t="s">
        <v>57</v>
      </c>
      <c r="V17" s="14" t="s">
        <v>57</v>
      </c>
      <c r="W17" s="14" t="s">
        <v>57</v>
      </c>
      <c r="X17" s="14" t="s">
        <v>57</v>
      </c>
      <c r="Y17" s="14" t="str">
        <f t="shared" si="11"/>
        <v>WO</v>
      </c>
      <c r="Z17" s="14" t="s">
        <v>57</v>
      </c>
      <c r="AA17" s="14" t="s">
        <v>57</v>
      </c>
      <c r="AB17" s="14" t="s">
        <v>57</v>
      </c>
      <c r="AC17" s="14" t="s">
        <v>57</v>
      </c>
      <c r="AD17" s="14" t="s">
        <v>57</v>
      </c>
      <c r="AE17" s="14" t="s">
        <v>57</v>
      </c>
      <c r="AF17" s="14" t="str">
        <f t="shared" si="10"/>
        <v>WO</v>
      </c>
      <c r="AG17" s="14" t="s">
        <v>57</v>
      </c>
      <c r="AH17" s="14" t="s">
        <v>57</v>
      </c>
      <c r="AI17" s="14" t="s">
        <v>57</v>
      </c>
      <c r="AJ17" s="14" t="s">
        <v>57</v>
      </c>
      <c r="AK17" s="14" t="s">
        <v>57</v>
      </c>
      <c r="AL17" s="14" t="s">
        <v>57</v>
      </c>
      <c r="AM17" s="14" t="str">
        <f t="shared" si="10"/>
        <v>WO</v>
      </c>
      <c r="AN17" s="32" t="s">
        <v>57</v>
      </c>
      <c r="AO17" s="39"/>
      <c r="AR17" s="43"/>
      <c r="AS17" s="22">
        <v>10</v>
      </c>
      <c r="AT17" s="14" t="s">
        <v>29</v>
      </c>
      <c r="AU17" s="14" t="str">
        <f t="shared" si="3"/>
        <v>August</v>
      </c>
      <c r="AV17" s="10" t="s">
        <v>12</v>
      </c>
      <c r="AW17" s="22">
        <f t="shared" si="4"/>
        <v>26</v>
      </c>
      <c r="AX17" s="22">
        <f t="shared" si="5"/>
        <v>0</v>
      </c>
      <c r="AY17" s="22">
        <f t="shared" si="6"/>
        <v>0</v>
      </c>
      <c r="AZ17" s="22">
        <f t="shared" si="7"/>
        <v>5</v>
      </c>
      <c r="BA17" s="22">
        <f t="shared" si="8"/>
        <v>31</v>
      </c>
      <c r="BB17" s="22">
        <f>JanMonthlyReport10[[#This Row],[Days]]-JanMonthlyReport10[[#This Row],[Absent]]</f>
        <v>31</v>
      </c>
      <c r="BC17" s="23">
        <v>13000</v>
      </c>
      <c r="BD17" s="23">
        <f>JanMonthlyReport10[[#This Row],[Basic Salary]]/JanMonthlyReport10[[#This Row],[Days]]</f>
        <v>419.35483870967744</v>
      </c>
      <c r="BE17" s="23">
        <f>JanMonthlyReport10[[#This Row],[Per Day Salary]]*JanMonthlyReport10[[#This Row],[Absent]]</f>
        <v>0</v>
      </c>
      <c r="BF17" s="26">
        <f>JanMonthlyReport10[[#This Row],[Basic Salary]]-JanMonthlyReport10[[#This Row],[Deduction]]</f>
        <v>13000</v>
      </c>
      <c r="BG17" s="21"/>
      <c r="BH17" s="43"/>
    </row>
    <row r="18" spans="1:60" x14ac:dyDescent="0.25">
      <c r="A18"/>
      <c r="B18"/>
      <c r="E18" s="39"/>
      <c r="F18" s="24">
        <v>11</v>
      </c>
      <c r="G18" s="14" t="s">
        <v>30</v>
      </c>
      <c r="H18" s="10" t="s">
        <v>13</v>
      </c>
      <c r="I18" s="15">
        <f t="shared" si="9"/>
        <v>5</v>
      </c>
      <c r="J18" s="14" t="s">
        <v>57</v>
      </c>
      <c r="K18" s="14" t="str">
        <f t="shared" si="11"/>
        <v>WO</v>
      </c>
      <c r="L18" s="14" t="s">
        <v>57</v>
      </c>
      <c r="M18" s="14" t="s">
        <v>57</v>
      </c>
      <c r="N18" s="14" t="s">
        <v>59</v>
      </c>
      <c r="O18" s="14" t="s">
        <v>57</v>
      </c>
      <c r="P18" s="14" t="s">
        <v>57</v>
      </c>
      <c r="Q18" s="14" t="s">
        <v>57</v>
      </c>
      <c r="R18" s="14" t="str">
        <f t="shared" si="11"/>
        <v>WO</v>
      </c>
      <c r="S18" s="14" t="s">
        <v>57</v>
      </c>
      <c r="T18" s="14" t="s">
        <v>57</v>
      </c>
      <c r="U18" s="14" t="s">
        <v>57</v>
      </c>
      <c r="V18" s="14" t="s">
        <v>57</v>
      </c>
      <c r="W18" s="14" t="s">
        <v>57</v>
      </c>
      <c r="X18" s="14" t="s">
        <v>57</v>
      </c>
      <c r="Y18" s="14" t="str">
        <f t="shared" si="11"/>
        <v>WO</v>
      </c>
      <c r="Z18" s="14" t="s">
        <v>57</v>
      </c>
      <c r="AA18" s="14" t="s">
        <v>57</v>
      </c>
      <c r="AB18" s="14" t="s">
        <v>57</v>
      </c>
      <c r="AC18" s="14" t="s">
        <v>57</v>
      </c>
      <c r="AD18" s="14" t="s">
        <v>57</v>
      </c>
      <c r="AE18" s="14" t="s">
        <v>57</v>
      </c>
      <c r="AF18" s="14" t="str">
        <f t="shared" si="10"/>
        <v>WO</v>
      </c>
      <c r="AG18" s="14" t="s">
        <v>57</v>
      </c>
      <c r="AH18" s="14" t="s">
        <v>57</v>
      </c>
      <c r="AI18" s="14" t="s">
        <v>57</v>
      </c>
      <c r="AJ18" s="14" t="s">
        <v>57</v>
      </c>
      <c r="AK18" s="14" t="s">
        <v>57</v>
      </c>
      <c r="AL18" s="14" t="s">
        <v>57</v>
      </c>
      <c r="AM18" s="14" t="str">
        <f t="shared" si="10"/>
        <v>WO</v>
      </c>
      <c r="AN18" s="32" t="s">
        <v>57</v>
      </c>
      <c r="AO18" s="39"/>
      <c r="AR18" s="43"/>
      <c r="AS18" s="22">
        <v>11</v>
      </c>
      <c r="AT18" s="14" t="s">
        <v>30</v>
      </c>
      <c r="AU18" s="14" t="str">
        <f t="shared" si="3"/>
        <v>August</v>
      </c>
      <c r="AV18" s="10" t="s">
        <v>13</v>
      </c>
      <c r="AW18" s="22">
        <f t="shared" si="4"/>
        <v>25</v>
      </c>
      <c r="AX18" s="22">
        <f t="shared" si="5"/>
        <v>1</v>
      </c>
      <c r="AY18" s="22">
        <f t="shared" si="6"/>
        <v>0</v>
      </c>
      <c r="AZ18" s="22">
        <f t="shared" si="7"/>
        <v>5</v>
      </c>
      <c r="BA18" s="22">
        <f t="shared" si="8"/>
        <v>31</v>
      </c>
      <c r="BB18" s="22">
        <f>JanMonthlyReport10[[#This Row],[Days]]-JanMonthlyReport10[[#This Row],[Absent]]</f>
        <v>30</v>
      </c>
      <c r="BC18" s="23">
        <v>10000</v>
      </c>
      <c r="BD18" s="23">
        <f>JanMonthlyReport10[[#This Row],[Basic Salary]]/JanMonthlyReport10[[#This Row],[Days]]</f>
        <v>322.58064516129031</v>
      </c>
      <c r="BE18" s="23">
        <f>JanMonthlyReport10[[#This Row],[Per Day Salary]]*JanMonthlyReport10[[#This Row],[Absent]]</f>
        <v>322.58064516129031</v>
      </c>
      <c r="BF18" s="26">
        <f>JanMonthlyReport10[[#This Row],[Basic Salary]]-JanMonthlyReport10[[#This Row],[Deduction]]</f>
        <v>9677.4193548387102</v>
      </c>
      <c r="BG18" s="21"/>
      <c r="BH18" s="43"/>
    </row>
    <row r="19" spans="1:60" x14ac:dyDescent="0.25">
      <c r="A19"/>
      <c r="B19"/>
      <c r="E19" s="39"/>
      <c r="F19" s="24">
        <v>12</v>
      </c>
      <c r="G19" s="14" t="s">
        <v>31</v>
      </c>
      <c r="H19" s="10" t="s">
        <v>14</v>
      </c>
      <c r="I19" s="15">
        <f t="shared" si="9"/>
        <v>5</v>
      </c>
      <c r="J19" s="14" t="s">
        <v>57</v>
      </c>
      <c r="K19" s="14" t="str">
        <f t="shared" si="11"/>
        <v>WO</v>
      </c>
      <c r="L19" s="14" t="s">
        <v>57</v>
      </c>
      <c r="M19" s="14" t="s">
        <v>57</v>
      </c>
      <c r="N19" s="14" t="s">
        <v>57</v>
      </c>
      <c r="O19" s="14" t="s">
        <v>57</v>
      </c>
      <c r="P19" s="14" t="s">
        <v>57</v>
      </c>
      <c r="Q19" s="14" t="s">
        <v>57</v>
      </c>
      <c r="R19" s="14" t="str">
        <f t="shared" si="11"/>
        <v>WO</v>
      </c>
      <c r="S19" s="14" t="s">
        <v>57</v>
      </c>
      <c r="T19" s="14" t="s">
        <v>57</v>
      </c>
      <c r="U19" s="14" t="s">
        <v>57</v>
      </c>
      <c r="V19" s="14" t="s">
        <v>57</v>
      </c>
      <c r="W19" s="14" t="s">
        <v>57</v>
      </c>
      <c r="X19" s="14" t="s">
        <v>57</v>
      </c>
      <c r="Y19" s="14" t="str">
        <f t="shared" si="11"/>
        <v>WO</v>
      </c>
      <c r="Z19" s="14" t="s">
        <v>57</v>
      </c>
      <c r="AA19" s="14" t="s">
        <v>57</v>
      </c>
      <c r="AB19" s="14" t="s">
        <v>57</v>
      </c>
      <c r="AC19" s="14" t="s">
        <v>57</v>
      </c>
      <c r="AD19" s="14" t="s">
        <v>57</v>
      </c>
      <c r="AE19" s="14" t="s">
        <v>57</v>
      </c>
      <c r="AF19" s="14" t="str">
        <f t="shared" si="10"/>
        <v>WO</v>
      </c>
      <c r="AG19" s="14" t="s">
        <v>57</v>
      </c>
      <c r="AH19" s="14" t="s">
        <v>57</v>
      </c>
      <c r="AI19" s="14" t="s">
        <v>57</v>
      </c>
      <c r="AJ19" s="14" t="s">
        <v>57</v>
      </c>
      <c r="AK19" s="14" t="s">
        <v>57</v>
      </c>
      <c r="AL19" s="14" t="s">
        <v>57</v>
      </c>
      <c r="AM19" s="14" t="str">
        <f t="shared" si="10"/>
        <v>WO</v>
      </c>
      <c r="AN19" s="32" t="s">
        <v>57</v>
      </c>
      <c r="AO19" s="39"/>
      <c r="AR19" s="43"/>
      <c r="AS19" s="22">
        <v>12</v>
      </c>
      <c r="AT19" s="14" t="s">
        <v>31</v>
      </c>
      <c r="AU19" s="14" t="str">
        <f t="shared" si="3"/>
        <v>August</v>
      </c>
      <c r="AV19" s="10" t="s">
        <v>14</v>
      </c>
      <c r="AW19" s="22">
        <f t="shared" si="4"/>
        <v>26</v>
      </c>
      <c r="AX19" s="22">
        <f t="shared" si="5"/>
        <v>0</v>
      </c>
      <c r="AY19" s="22">
        <f t="shared" si="6"/>
        <v>0</v>
      </c>
      <c r="AZ19" s="22">
        <f t="shared" si="7"/>
        <v>5</v>
      </c>
      <c r="BA19" s="22">
        <f t="shared" si="8"/>
        <v>31</v>
      </c>
      <c r="BB19" s="22">
        <f>JanMonthlyReport10[[#This Row],[Days]]-JanMonthlyReport10[[#This Row],[Absent]]</f>
        <v>31</v>
      </c>
      <c r="BC19" s="23">
        <v>9000</v>
      </c>
      <c r="BD19" s="23">
        <f>JanMonthlyReport10[[#This Row],[Basic Salary]]/JanMonthlyReport10[[#This Row],[Days]]</f>
        <v>290.32258064516128</v>
      </c>
      <c r="BE19" s="23">
        <f>JanMonthlyReport10[[#This Row],[Per Day Salary]]*JanMonthlyReport10[[#This Row],[Absent]]</f>
        <v>0</v>
      </c>
      <c r="BF19" s="26">
        <f>JanMonthlyReport10[[#This Row],[Basic Salary]]-JanMonthlyReport10[[#This Row],[Deduction]]</f>
        <v>9000</v>
      </c>
      <c r="BG19" s="21"/>
      <c r="BH19" s="43"/>
    </row>
    <row r="20" spans="1:60" x14ac:dyDescent="0.25">
      <c r="A20"/>
      <c r="B20"/>
      <c r="E20" s="39"/>
      <c r="F20" s="24">
        <v>13</v>
      </c>
      <c r="G20" s="14" t="s">
        <v>32</v>
      </c>
      <c r="H20" s="10" t="s">
        <v>15</v>
      </c>
      <c r="I20" s="15">
        <f t="shared" si="9"/>
        <v>5</v>
      </c>
      <c r="J20" s="14" t="s">
        <v>57</v>
      </c>
      <c r="K20" s="14" t="str">
        <f t="shared" si="11"/>
        <v>WO</v>
      </c>
      <c r="L20" s="14" t="s">
        <v>57</v>
      </c>
      <c r="M20" s="14" t="s">
        <v>57</v>
      </c>
      <c r="N20" s="14" t="s">
        <v>57</v>
      </c>
      <c r="O20" s="14" t="s">
        <v>57</v>
      </c>
      <c r="P20" s="14" t="s">
        <v>57</v>
      </c>
      <c r="Q20" s="14" t="s">
        <v>57</v>
      </c>
      <c r="R20" s="14" t="str">
        <f t="shared" si="11"/>
        <v>WO</v>
      </c>
      <c r="S20" s="14" t="s">
        <v>57</v>
      </c>
      <c r="T20" s="14" t="s">
        <v>57</v>
      </c>
      <c r="U20" s="14" t="s">
        <v>57</v>
      </c>
      <c r="V20" s="14" t="s">
        <v>57</v>
      </c>
      <c r="W20" s="14" t="s">
        <v>57</v>
      </c>
      <c r="X20" s="14" t="s">
        <v>57</v>
      </c>
      <c r="Y20" s="14" t="str">
        <f t="shared" si="11"/>
        <v>WO</v>
      </c>
      <c r="Z20" s="14" t="s">
        <v>57</v>
      </c>
      <c r="AA20" s="14" t="s">
        <v>57</v>
      </c>
      <c r="AB20" s="14" t="s">
        <v>57</v>
      </c>
      <c r="AC20" s="14" t="s">
        <v>57</v>
      </c>
      <c r="AD20" s="14" t="s">
        <v>57</v>
      </c>
      <c r="AE20" s="14" t="s">
        <v>57</v>
      </c>
      <c r="AF20" s="14" t="str">
        <f t="shared" si="10"/>
        <v>WO</v>
      </c>
      <c r="AG20" s="14" t="s">
        <v>57</v>
      </c>
      <c r="AH20" s="14" t="s">
        <v>57</v>
      </c>
      <c r="AI20" s="14" t="s">
        <v>57</v>
      </c>
      <c r="AJ20" s="14" t="s">
        <v>57</v>
      </c>
      <c r="AK20" s="14" t="s">
        <v>57</v>
      </c>
      <c r="AL20" s="14" t="s">
        <v>57</v>
      </c>
      <c r="AM20" s="14" t="str">
        <f t="shared" si="10"/>
        <v>WO</v>
      </c>
      <c r="AN20" s="32" t="s">
        <v>57</v>
      </c>
      <c r="AO20" s="39"/>
      <c r="AR20" s="43"/>
      <c r="AS20" s="22">
        <v>13</v>
      </c>
      <c r="AT20" s="14" t="s">
        <v>32</v>
      </c>
      <c r="AU20" s="14" t="str">
        <f t="shared" si="3"/>
        <v>August</v>
      </c>
      <c r="AV20" s="10" t="s">
        <v>15</v>
      </c>
      <c r="AW20" s="22">
        <f t="shared" si="4"/>
        <v>26</v>
      </c>
      <c r="AX20" s="22">
        <f t="shared" si="5"/>
        <v>0</v>
      </c>
      <c r="AY20" s="22">
        <f t="shared" si="6"/>
        <v>0</v>
      </c>
      <c r="AZ20" s="22">
        <f t="shared" si="7"/>
        <v>5</v>
      </c>
      <c r="BA20" s="22">
        <f t="shared" si="8"/>
        <v>31</v>
      </c>
      <c r="BB20" s="22">
        <f>JanMonthlyReport10[[#This Row],[Days]]-JanMonthlyReport10[[#This Row],[Absent]]</f>
        <v>31</v>
      </c>
      <c r="BC20" s="23">
        <v>10000</v>
      </c>
      <c r="BD20" s="23">
        <f>JanMonthlyReport10[[#This Row],[Basic Salary]]/JanMonthlyReport10[[#This Row],[Days]]</f>
        <v>322.58064516129031</v>
      </c>
      <c r="BE20" s="23">
        <f>JanMonthlyReport10[[#This Row],[Per Day Salary]]*JanMonthlyReport10[[#This Row],[Absent]]</f>
        <v>0</v>
      </c>
      <c r="BF20" s="26">
        <f>JanMonthlyReport10[[#This Row],[Basic Salary]]-JanMonthlyReport10[[#This Row],[Deduction]]</f>
        <v>10000</v>
      </c>
      <c r="BG20" s="21"/>
      <c r="BH20" s="43"/>
    </row>
    <row r="21" spans="1:60" x14ac:dyDescent="0.25">
      <c r="A21"/>
      <c r="B21"/>
      <c r="E21" s="39"/>
      <c r="F21" s="24">
        <v>14</v>
      </c>
      <c r="G21" s="14" t="s">
        <v>33</v>
      </c>
      <c r="H21" s="10" t="s">
        <v>16</v>
      </c>
      <c r="I21" s="15">
        <f t="shared" si="9"/>
        <v>5</v>
      </c>
      <c r="J21" s="14" t="s">
        <v>57</v>
      </c>
      <c r="K21" s="14" t="str">
        <f t="shared" si="11"/>
        <v>WO</v>
      </c>
      <c r="L21" s="14" t="s">
        <v>57</v>
      </c>
      <c r="M21" s="14" t="s">
        <v>57</v>
      </c>
      <c r="N21" s="14" t="s">
        <v>57</v>
      </c>
      <c r="O21" s="14" t="s">
        <v>57</v>
      </c>
      <c r="P21" s="14" t="s">
        <v>57</v>
      </c>
      <c r="Q21" s="14" t="s">
        <v>57</v>
      </c>
      <c r="R21" s="14" t="str">
        <f t="shared" si="11"/>
        <v>WO</v>
      </c>
      <c r="S21" s="14" t="s">
        <v>57</v>
      </c>
      <c r="T21" s="14" t="s">
        <v>57</v>
      </c>
      <c r="U21" s="14" t="s">
        <v>57</v>
      </c>
      <c r="V21" s="14" t="s">
        <v>57</v>
      </c>
      <c r="W21" s="14" t="s">
        <v>57</v>
      </c>
      <c r="X21" s="14" t="s">
        <v>57</v>
      </c>
      <c r="Y21" s="14" t="str">
        <f t="shared" si="11"/>
        <v>WO</v>
      </c>
      <c r="Z21" s="14" t="s">
        <v>57</v>
      </c>
      <c r="AA21" s="14" t="s">
        <v>57</v>
      </c>
      <c r="AB21" s="14" t="s">
        <v>57</v>
      </c>
      <c r="AC21" s="14" t="s">
        <v>57</v>
      </c>
      <c r="AD21" s="14" t="s">
        <v>57</v>
      </c>
      <c r="AE21" s="14" t="s">
        <v>57</v>
      </c>
      <c r="AF21" s="14" t="str">
        <f t="shared" si="10"/>
        <v>WO</v>
      </c>
      <c r="AG21" s="14" t="s">
        <v>57</v>
      </c>
      <c r="AH21" s="14" t="s">
        <v>57</v>
      </c>
      <c r="AI21" s="14" t="s">
        <v>57</v>
      </c>
      <c r="AJ21" s="14" t="s">
        <v>57</v>
      </c>
      <c r="AK21" s="14" t="s">
        <v>57</v>
      </c>
      <c r="AL21" s="14" t="s">
        <v>57</v>
      </c>
      <c r="AM21" s="14" t="str">
        <f t="shared" si="10"/>
        <v>WO</v>
      </c>
      <c r="AN21" s="32" t="s">
        <v>57</v>
      </c>
      <c r="AO21" s="39"/>
      <c r="AR21" s="43"/>
      <c r="AS21" s="22">
        <v>14</v>
      </c>
      <c r="AT21" s="14" t="s">
        <v>33</v>
      </c>
      <c r="AU21" s="14" t="str">
        <f t="shared" si="3"/>
        <v>August</v>
      </c>
      <c r="AV21" s="10" t="s">
        <v>16</v>
      </c>
      <c r="AW21" s="22">
        <f t="shared" si="4"/>
        <v>26</v>
      </c>
      <c r="AX21" s="22">
        <f t="shared" si="5"/>
        <v>0</v>
      </c>
      <c r="AY21" s="22">
        <f t="shared" si="6"/>
        <v>0</v>
      </c>
      <c r="AZ21" s="22">
        <f t="shared" si="7"/>
        <v>5</v>
      </c>
      <c r="BA21" s="22">
        <f t="shared" si="8"/>
        <v>31</v>
      </c>
      <c r="BB21" s="22">
        <f>JanMonthlyReport10[[#This Row],[Days]]-JanMonthlyReport10[[#This Row],[Absent]]</f>
        <v>31</v>
      </c>
      <c r="BC21" s="23">
        <v>10000</v>
      </c>
      <c r="BD21" s="23">
        <f>JanMonthlyReport10[[#This Row],[Basic Salary]]/JanMonthlyReport10[[#This Row],[Days]]</f>
        <v>322.58064516129031</v>
      </c>
      <c r="BE21" s="23">
        <f>JanMonthlyReport10[[#This Row],[Per Day Salary]]*JanMonthlyReport10[[#This Row],[Absent]]</f>
        <v>0</v>
      </c>
      <c r="BF21" s="26">
        <f>JanMonthlyReport10[[#This Row],[Basic Salary]]-JanMonthlyReport10[[#This Row],[Deduction]]</f>
        <v>10000</v>
      </c>
      <c r="BG21" s="21"/>
      <c r="BH21" s="43"/>
    </row>
    <row r="22" spans="1:60" x14ac:dyDescent="0.25">
      <c r="A22"/>
      <c r="B22"/>
      <c r="E22" s="39"/>
      <c r="F22" s="24">
        <v>15</v>
      </c>
      <c r="G22" s="14" t="s">
        <v>34</v>
      </c>
      <c r="H22" s="10" t="s">
        <v>17</v>
      </c>
      <c r="I22" s="15">
        <f t="shared" si="9"/>
        <v>5</v>
      </c>
      <c r="J22" s="14" t="s">
        <v>57</v>
      </c>
      <c r="K22" s="14" t="str">
        <f t="shared" si="11"/>
        <v>WO</v>
      </c>
      <c r="L22" s="14" t="s">
        <v>57</v>
      </c>
      <c r="M22" s="14" t="s">
        <v>57</v>
      </c>
      <c r="N22" s="14" t="s">
        <v>57</v>
      </c>
      <c r="O22" s="14" t="s">
        <v>57</v>
      </c>
      <c r="P22" s="14" t="s">
        <v>57</v>
      </c>
      <c r="Q22" s="14" t="s">
        <v>57</v>
      </c>
      <c r="R22" s="14" t="str">
        <f t="shared" si="11"/>
        <v>WO</v>
      </c>
      <c r="S22" s="14" t="s">
        <v>57</v>
      </c>
      <c r="T22" s="14" t="s">
        <v>57</v>
      </c>
      <c r="U22" s="14" t="s">
        <v>57</v>
      </c>
      <c r="V22" s="14" t="s">
        <v>57</v>
      </c>
      <c r="W22" s="14" t="s">
        <v>57</v>
      </c>
      <c r="X22" s="14" t="s">
        <v>57</v>
      </c>
      <c r="Y22" s="14" t="str">
        <f t="shared" si="11"/>
        <v>WO</v>
      </c>
      <c r="Z22" s="14" t="s">
        <v>57</v>
      </c>
      <c r="AA22" s="14" t="s">
        <v>57</v>
      </c>
      <c r="AB22" s="14" t="s">
        <v>57</v>
      </c>
      <c r="AC22" s="14" t="s">
        <v>57</v>
      </c>
      <c r="AD22" s="14" t="s">
        <v>57</v>
      </c>
      <c r="AE22" s="14" t="s">
        <v>57</v>
      </c>
      <c r="AF22" s="14" t="str">
        <f t="shared" si="10"/>
        <v>WO</v>
      </c>
      <c r="AG22" s="14" t="s">
        <v>57</v>
      </c>
      <c r="AH22" s="14" t="s">
        <v>57</v>
      </c>
      <c r="AI22" s="14" t="s">
        <v>57</v>
      </c>
      <c r="AJ22" s="14" t="s">
        <v>57</v>
      </c>
      <c r="AK22" s="14" t="s">
        <v>57</v>
      </c>
      <c r="AL22" s="14" t="s">
        <v>57</v>
      </c>
      <c r="AM22" s="14" t="str">
        <f t="shared" si="10"/>
        <v>WO</v>
      </c>
      <c r="AN22" s="32" t="s">
        <v>57</v>
      </c>
      <c r="AO22" s="39"/>
      <c r="AR22" s="43"/>
      <c r="AS22" s="22">
        <v>15</v>
      </c>
      <c r="AT22" s="14" t="s">
        <v>34</v>
      </c>
      <c r="AU22" s="14" t="str">
        <f t="shared" si="3"/>
        <v>August</v>
      </c>
      <c r="AV22" s="10" t="s">
        <v>17</v>
      </c>
      <c r="AW22" s="22">
        <f t="shared" si="4"/>
        <v>26</v>
      </c>
      <c r="AX22" s="22">
        <f t="shared" si="5"/>
        <v>0</v>
      </c>
      <c r="AY22" s="22">
        <f t="shared" si="6"/>
        <v>0</v>
      </c>
      <c r="AZ22" s="22">
        <f t="shared" si="7"/>
        <v>5</v>
      </c>
      <c r="BA22" s="22">
        <f t="shared" si="8"/>
        <v>31</v>
      </c>
      <c r="BB22" s="22">
        <f>JanMonthlyReport10[[#This Row],[Days]]-JanMonthlyReport10[[#This Row],[Absent]]</f>
        <v>31</v>
      </c>
      <c r="BC22" s="23">
        <v>10000</v>
      </c>
      <c r="BD22" s="23">
        <f>JanMonthlyReport10[[#This Row],[Basic Salary]]/JanMonthlyReport10[[#This Row],[Days]]</f>
        <v>322.58064516129031</v>
      </c>
      <c r="BE22" s="23">
        <f>JanMonthlyReport10[[#This Row],[Per Day Salary]]*JanMonthlyReport10[[#This Row],[Absent]]</f>
        <v>0</v>
      </c>
      <c r="BF22" s="26">
        <f>JanMonthlyReport10[[#This Row],[Basic Salary]]-JanMonthlyReport10[[#This Row],[Deduction]]</f>
        <v>10000</v>
      </c>
      <c r="BG22" s="21"/>
      <c r="BH22" s="43"/>
    </row>
    <row r="23" spans="1:60" x14ac:dyDescent="0.25">
      <c r="A23"/>
      <c r="B23"/>
      <c r="E23" s="39"/>
      <c r="F23" s="24">
        <v>16</v>
      </c>
      <c r="G23" s="14" t="s">
        <v>35</v>
      </c>
      <c r="H23" s="10" t="s">
        <v>18</v>
      </c>
      <c r="I23" s="15">
        <f t="shared" si="9"/>
        <v>5</v>
      </c>
      <c r="J23" s="14" t="s">
        <v>57</v>
      </c>
      <c r="K23" s="14" t="str">
        <f t="shared" si="11"/>
        <v>WO</v>
      </c>
      <c r="L23" s="14" t="s">
        <v>57</v>
      </c>
      <c r="M23" s="14" t="s">
        <v>57</v>
      </c>
      <c r="N23" s="14" t="s">
        <v>57</v>
      </c>
      <c r="O23" s="14" t="s">
        <v>57</v>
      </c>
      <c r="P23" s="14" t="s">
        <v>57</v>
      </c>
      <c r="Q23" s="14" t="s">
        <v>57</v>
      </c>
      <c r="R23" s="14" t="str">
        <f t="shared" si="11"/>
        <v>WO</v>
      </c>
      <c r="S23" s="14" t="s">
        <v>57</v>
      </c>
      <c r="T23" s="14" t="s">
        <v>57</v>
      </c>
      <c r="U23" s="14" t="s">
        <v>57</v>
      </c>
      <c r="V23" s="14" t="s">
        <v>57</v>
      </c>
      <c r="W23" s="14" t="s">
        <v>57</v>
      </c>
      <c r="X23" s="14" t="s">
        <v>57</v>
      </c>
      <c r="Y23" s="14" t="str">
        <f t="shared" si="11"/>
        <v>WO</v>
      </c>
      <c r="Z23" s="14" t="s">
        <v>57</v>
      </c>
      <c r="AA23" s="14" t="s">
        <v>57</v>
      </c>
      <c r="AB23" s="14" t="s">
        <v>57</v>
      </c>
      <c r="AC23" s="14" t="s">
        <v>57</v>
      </c>
      <c r="AD23" s="14" t="s">
        <v>57</v>
      </c>
      <c r="AE23" s="14" t="s">
        <v>57</v>
      </c>
      <c r="AF23" s="14" t="str">
        <f t="shared" si="10"/>
        <v>WO</v>
      </c>
      <c r="AG23" s="14" t="s">
        <v>57</v>
      </c>
      <c r="AH23" s="14" t="s">
        <v>57</v>
      </c>
      <c r="AI23" s="14" t="s">
        <v>57</v>
      </c>
      <c r="AJ23" s="14" t="s">
        <v>57</v>
      </c>
      <c r="AK23" s="14" t="s">
        <v>57</v>
      </c>
      <c r="AL23" s="14" t="s">
        <v>57</v>
      </c>
      <c r="AM23" s="14" t="str">
        <f t="shared" si="10"/>
        <v>WO</v>
      </c>
      <c r="AN23" s="32" t="s">
        <v>57</v>
      </c>
      <c r="AO23" s="39"/>
      <c r="AR23" s="43"/>
      <c r="AS23" s="22">
        <v>16</v>
      </c>
      <c r="AT23" s="14" t="s">
        <v>35</v>
      </c>
      <c r="AU23" s="14" t="str">
        <f t="shared" si="3"/>
        <v>August</v>
      </c>
      <c r="AV23" s="10" t="s">
        <v>18</v>
      </c>
      <c r="AW23" s="22">
        <f t="shared" si="4"/>
        <v>26</v>
      </c>
      <c r="AX23" s="22">
        <f t="shared" si="5"/>
        <v>0</v>
      </c>
      <c r="AY23" s="22">
        <f t="shared" si="6"/>
        <v>0</v>
      </c>
      <c r="AZ23" s="22">
        <f t="shared" si="7"/>
        <v>5</v>
      </c>
      <c r="BA23" s="22">
        <f t="shared" si="8"/>
        <v>31</v>
      </c>
      <c r="BB23" s="22">
        <f>JanMonthlyReport10[[#This Row],[Days]]-JanMonthlyReport10[[#This Row],[Absent]]</f>
        <v>31</v>
      </c>
      <c r="BC23" s="23">
        <v>10000</v>
      </c>
      <c r="BD23" s="23">
        <f>JanMonthlyReport10[[#This Row],[Basic Salary]]/JanMonthlyReport10[[#This Row],[Days]]</f>
        <v>322.58064516129031</v>
      </c>
      <c r="BE23" s="23">
        <f>JanMonthlyReport10[[#This Row],[Per Day Salary]]*JanMonthlyReport10[[#This Row],[Absent]]</f>
        <v>0</v>
      </c>
      <c r="BF23" s="26">
        <f>JanMonthlyReport10[[#This Row],[Basic Salary]]-JanMonthlyReport10[[#This Row],[Deduction]]</f>
        <v>10000</v>
      </c>
      <c r="BG23" s="21"/>
      <c r="BH23" s="43"/>
    </row>
    <row r="24" spans="1:60" ht="15.75" thickBot="1" x14ac:dyDescent="0.3">
      <c r="A24"/>
      <c r="B24"/>
      <c r="E24" s="39"/>
      <c r="F24" s="25">
        <v>17</v>
      </c>
      <c r="G24" s="33" t="s">
        <v>36</v>
      </c>
      <c r="H24" s="34" t="s">
        <v>19</v>
      </c>
      <c r="I24" s="35">
        <f t="shared" si="9"/>
        <v>5</v>
      </c>
      <c r="J24" s="33" t="s">
        <v>57</v>
      </c>
      <c r="K24" s="33" t="str">
        <f t="shared" si="11"/>
        <v>WO</v>
      </c>
      <c r="L24" s="33" t="s">
        <v>57</v>
      </c>
      <c r="M24" s="33" t="s">
        <v>57</v>
      </c>
      <c r="N24" s="33" t="s">
        <v>57</v>
      </c>
      <c r="O24" s="33" t="s">
        <v>57</v>
      </c>
      <c r="P24" s="33" t="s">
        <v>57</v>
      </c>
      <c r="Q24" s="33" t="s">
        <v>57</v>
      </c>
      <c r="R24" s="33" t="str">
        <f t="shared" si="11"/>
        <v>WO</v>
      </c>
      <c r="S24" s="33" t="s">
        <v>57</v>
      </c>
      <c r="T24" s="33" t="s">
        <v>57</v>
      </c>
      <c r="U24" s="33" t="s">
        <v>57</v>
      </c>
      <c r="V24" s="33" t="s">
        <v>57</v>
      </c>
      <c r="W24" s="33" t="s">
        <v>57</v>
      </c>
      <c r="X24" s="33" t="s">
        <v>57</v>
      </c>
      <c r="Y24" s="33" t="str">
        <f t="shared" si="11"/>
        <v>WO</v>
      </c>
      <c r="Z24" s="33" t="s">
        <v>57</v>
      </c>
      <c r="AA24" s="33" t="s">
        <v>57</v>
      </c>
      <c r="AB24" s="33" t="s">
        <v>57</v>
      </c>
      <c r="AC24" s="33" t="s">
        <v>57</v>
      </c>
      <c r="AD24" s="33" t="s">
        <v>57</v>
      </c>
      <c r="AE24" s="33" t="s">
        <v>57</v>
      </c>
      <c r="AF24" s="33" t="str">
        <f t="shared" si="10"/>
        <v>WO</v>
      </c>
      <c r="AG24" s="33" t="s">
        <v>57</v>
      </c>
      <c r="AH24" s="33" t="s">
        <v>57</v>
      </c>
      <c r="AI24" s="33" t="s">
        <v>57</v>
      </c>
      <c r="AJ24" s="33" t="s">
        <v>57</v>
      </c>
      <c r="AK24" s="33" t="s">
        <v>57</v>
      </c>
      <c r="AL24" s="33" t="s">
        <v>57</v>
      </c>
      <c r="AM24" s="33" t="str">
        <f t="shared" si="10"/>
        <v>WO</v>
      </c>
      <c r="AN24" s="36" t="s">
        <v>57</v>
      </c>
      <c r="AO24" s="39"/>
      <c r="AR24" s="43"/>
      <c r="AS24" s="22">
        <v>17</v>
      </c>
      <c r="AT24" s="14" t="s">
        <v>36</v>
      </c>
      <c r="AU24" s="14" t="str">
        <f t="shared" si="3"/>
        <v>August</v>
      </c>
      <c r="AV24" s="10" t="s">
        <v>19</v>
      </c>
      <c r="AW24" s="22">
        <f t="shared" si="4"/>
        <v>26</v>
      </c>
      <c r="AX24" s="22">
        <f t="shared" si="5"/>
        <v>0</v>
      </c>
      <c r="AY24" s="22">
        <f t="shared" si="6"/>
        <v>0</v>
      </c>
      <c r="AZ24" s="22">
        <f t="shared" si="7"/>
        <v>5</v>
      </c>
      <c r="BA24" s="22">
        <f t="shared" si="8"/>
        <v>31</v>
      </c>
      <c r="BB24" s="22">
        <f>JanMonthlyReport10[[#This Row],[Days]]-JanMonthlyReport10[[#This Row],[Absent]]</f>
        <v>31</v>
      </c>
      <c r="BC24" s="23">
        <v>9000</v>
      </c>
      <c r="BD24" s="23">
        <f>JanMonthlyReport10[[#This Row],[Basic Salary]]/JanMonthlyReport10[[#This Row],[Days]]</f>
        <v>290.32258064516128</v>
      </c>
      <c r="BE24" s="23">
        <f>JanMonthlyReport10[[#This Row],[Per Day Salary]]*JanMonthlyReport10[[#This Row],[Absent]]</f>
        <v>0</v>
      </c>
      <c r="BF24" s="26">
        <f>JanMonthlyReport10[[#This Row],[Basic Salary]]-JanMonthlyReport10[[#This Row],[Deduction]]</f>
        <v>9000</v>
      </c>
      <c r="BG24" s="21"/>
      <c r="BH24" s="43"/>
    </row>
    <row r="25" spans="1:60" x14ac:dyDescent="0.25">
      <c r="A25"/>
      <c r="B25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</row>
    <row r="26" spans="1:60" x14ac:dyDescent="0.25">
      <c r="A26"/>
      <c r="B26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</row>
    <row r="27" spans="1:60" x14ac:dyDescent="0.25">
      <c r="A27"/>
      <c r="B27"/>
    </row>
    <row r="28" spans="1:60" x14ac:dyDescent="0.25">
      <c r="A28"/>
      <c r="B28"/>
    </row>
    <row r="29" spans="1:60" x14ac:dyDescent="0.25">
      <c r="A29"/>
      <c r="B29"/>
    </row>
    <row r="30" spans="1:60" x14ac:dyDescent="0.25">
      <c r="A30"/>
      <c r="B30"/>
    </row>
    <row r="31" spans="1:60" x14ac:dyDescent="0.25">
      <c r="A31"/>
      <c r="B31"/>
    </row>
    <row r="32" spans="1:60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</sheetData>
  <mergeCells count="1">
    <mergeCell ref="F6:H6"/>
  </mergeCells>
  <conditionalFormatting sqref="AQ7 K8:K24 AM8:AM24 AF8:AF24 Y8:Y24 R8:R24">
    <cfRule type="containsText" dxfId="455" priority="10" operator="containsText" text="WO">
      <formula>NOT(ISERROR(SEARCH("WO",K7)))</formula>
    </cfRule>
  </conditionalFormatting>
  <conditionalFormatting sqref="G4 I8:I24 AM8:AM24 AF8:AF24 Y8:Y24 R8:R24 K8:K24">
    <cfRule type="containsText" dxfId="454" priority="9" operator="containsText" text="WO">
      <formula>NOT(ISERROR(SEARCH("WO",G4)))</formula>
    </cfRule>
  </conditionalFormatting>
  <conditionalFormatting sqref="K8:K24 AM8:AM24 AF8:AF24 Y8:Y24 R8:R24">
    <cfRule type="containsText" dxfId="451" priority="6" operator="containsText" text="L">
      <formula>NOT(ISERROR(SEARCH("L",K8)))</formula>
    </cfRule>
    <cfRule type="containsText" dxfId="452" priority="7" operator="containsText" text="A">
      <formula>NOT(ISERROR(SEARCH("A",K8)))</formula>
    </cfRule>
    <cfRule type="containsText" dxfId="453" priority="8" operator="containsText" text="P">
      <formula>NOT(ISERROR(SEARCH("P",K8)))</formula>
    </cfRule>
  </conditionalFormatting>
  <conditionalFormatting sqref="J8:J24 L8:Q24 S8:X24 Z8:AE24 AN8:AN24 AG8:AL24">
    <cfRule type="containsText" dxfId="44" priority="5" operator="containsText" text="WO">
      <formula>NOT(ISERROR(SEARCH("WO",J8)))</formula>
    </cfRule>
  </conditionalFormatting>
  <conditionalFormatting sqref="J8:J24 L8:Q24 S8:X24 Z8:AE24 AN8:AN24 AG8:AL24">
    <cfRule type="containsText" dxfId="43" priority="4" operator="containsText" text="WO">
      <formula>NOT(ISERROR(SEARCH("WO",J8)))</formula>
    </cfRule>
  </conditionalFormatting>
  <conditionalFormatting sqref="J8:J24 L8:Q24 S8:X24 Z8:AE24 AN8:AN24 AG8:AL24">
    <cfRule type="containsText" dxfId="42" priority="1" operator="containsText" text="L">
      <formula>NOT(ISERROR(SEARCH("L",J8)))</formula>
    </cfRule>
    <cfRule type="containsText" dxfId="41" priority="2" operator="containsText" text="A">
      <formula>NOT(ISERROR(SEARCH("A",J8)))</formula>
    </cfRule>
    <cfRule type="containsText" dxfId="40" priority="3" operator="containsText" text="P">
      <formula>NOT(ISERROR(SEARCH("P",J8)))</formula>
    </cfRule>
  </conditionalFormatting>
  <dataValidations count="1">
    <dataValidation type="list" allowBlank="1" showInputMessage="1" showErrorMessage="1" sqref="AG8:AL24 AN8:AN24 Z8:AE24 S8:X24 L8:Q24 J8:J24" xr:uid="{16AF024B-B6E5-4BF7-A152-A43EC917510F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FA1565-4716-467F-9566-0AA15EC4AD49}">
          <x14:formula1>
            <xm:f>Rough!$A$1:$A$12</xm:f>
          </x14:formula1>
          <xm:sqref>G4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8227CB78-DC77-4852-B22F-E29A5050EAD0}">
          <x14:colorSeries theme="7"/>
          <x14:colorNegative rgb="FFFF0000"/>
          <x14:colorAxis rgb="FF000000"/>
          <x14:colorMarkers rgb="FFD00000"/>
          <x14:colorFirst rgb="FFD00000"/>
          <x14:colorLast rgb="FFD00000"/>
          <x14:colorHigh rgb="FF2BF595"/>
          <x14:colorLow rgb="FFD00000"/>
          <x14:sparklines>
            <x14:sparkline>
              <xm:f>Aug!AW8:AY8</xm:f>
              <xm:sqref>BG8</xm:sqref>
            </x14:sparkline>
            <x14:sparkline>
              <xm:f>Aug!AW9:AY9</xm:f>
              <xm:sqref>BG9</xm:sqref>
            </x14:sparkline>
            <x14:sparkline>
              <xm:f>Aug!AW10:AY10</xm:f>
              <xm:sqref>BG10</xm:sqref>
            </x14:sparkline>
            <x14:sparkline>
              <xm:f>Aug!AW11:AY11</xm:f>
              <xm:sqref>BG11</xm:sqref>
            </x14:sparkline>
            <x14:sparkline>
              <xm:f>Aug!AW12:AY12</xm:f>
              <xm:sqref>BG12</xm:sqref>
            </x14:sparkline>
            <x14:sparkline>
              <xm:f>Aug!AW13:AY13</xm:f>
              <xm:sqref>BG13</xm:sqref>
            </x14:sparkline>
            <x14:sparkline>
              <xm:f>Aug!AW14:AY14</xm:f>
              <xm:sqref>BG14</xm:sqref>
            </x14:sparkline>
            <x14:sparkline>
              <xm:f>Aug!AW15:AY15</xm:f>
              <xm:sqref>BG15</xm:sqref>
            </x14:sparkline>
            <x14:sparkline>
              <xm:f>Aug!AW16:AY16</xm:f>
              <xm:sqref>BG16</xm:sqref>
            </x14:sparkline>
            <x14:sparkline>
              <xm:f>Aug!AW17:AY17</xm:f>
              <xm:sqref>BG17</xm:sqref>
            </x14:sparkline>
            <x14:sparkline>
              <xm:f>Aug!AW18:AY18</xm:f>
              <xm:sqref>BG18</xm:sqref>
            </x14:sparkline>
            <x14:sparkline>
              <xm:f>Aug!AW19:AY19</xm:f>
              <xm:sqref>BG19</xm:sqref>
            </x14:sparkline>
            <x14:sparkline>
              <xm:f>Aug!AW20:AY20</xm:f>
              <xm:sqref>BG20</xm:sqref>
            </x14:sparkline>
            <x14:sparkline>
              <xm:f>Aug!AW21:AY21</xm:f>
              <xm:sqref>BG21</xm:sqref>
            </x14:sparkline>
            <x14:sparkline>
              <xm:f>Aug!AW22:AY22</xm:f>
              <xm:sqref>BG22</xm:sqref>
            </x14:sparkline>
            <x14:sparkline>
              <xm:f>Aug!AW23:AY23</xm:f>
              <xm:sqref>BG23</xm:sqref>
            </x14:sparkline>
            <x14:sparkline>
              <xm:f>Aug!AW24:AY24</xm:f>
              <xm:sqref>BG24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0C2D-80F1-4BF6-8635-23C456515AFD}">
  <dimension ref="A1:BH36"/>
  <sheetViews>
    <sheetView topLeftCell="AN1" zoomScale="80" zoomScaleNormal="80" workbookViewId="0">
      <selection activeCell="BG8" sqref="BG8:BG24"/>
    </sheetView>
  </sheetViews>
  <sheetFormatPr defaultRowHeight="15" x14ac:dyDescent="0.25"/>
  <cols>
    <col min="1" max="5" width="9.140625" style="37"/>
    <col min="6" max="6" width="8.28515625" style="37" bestFit="1" customWidth="1"/>
    <col min="7" max="7" width="14.7109375" style="37" bestFit="1" customWidth="1"/>
    <col min="8" max="8" width="24" style="37" bestFit="1" customWidth="1"/>
    <col min="9" max="9" width="9.85546875" style="37" bestFit="1" customWidth="1"/>
    <col min="10" max="10" width="8.42578125" style="37" bestFit="1" customWidth="1"/>
    <col min="11" max="11" width="6.42578125" style="37" customWidth="1"/>
    <col min="12" max="12" width="5.85546875" style="37" bestFit="1" customWidth="1"/>
    <col min="13" max="13" width="6.42578125" style="37" bestFit="1" customWidth="1"/>
    <col min="14" max="14" width="6.5703125" style="37" bestFit="1" customWidth="1"/>
    <col min="15" max="15" width="6.140625" style="37" bestFit="1" customWidth="1"/>
    <col min="16" max="16" width="6.85546875" style="37" bestFit="1" customWidth="1"/>
    <col min="17" max="17" width="6.140625" style="37" bestFit="1" customWidth="1"/>
    <col min="18" max="18" width="4.7109375" style="37" bestFit="1" customWidth="1"/>
    <col min="19" max="19" width="5.85546875" style="37" bestFit="1" customWidth="1"/>
    <col min="20" max="20" width="6.42578125" style="37" bestFit="1" customWidth="1"/>
    <col min="21" max="21" width="6.5703125" style="37" bestFit="1" customWidth="1"/>
    <col min="22" max="22" width="6.140625" style="37" bestFit="1" customWidth="1"/>
    <col min="23" max="23" width="6.85546875" style="37" bestFit="1" customWidth="1"/>
    <col min="24" max="24" width="6.140625" style="37" bestFit="1" customWidth="1"/>
    <col min="25" max="25" width="4.7109375" style="37" bestFit="1" customWidth="1"/>
    <col min="26" max="26" width="5.85546875" style="37" bestFit="1" customWidth="1"/>
    <col min="27" max="27" width="6.42578125" style="37" bestFit="1" customWidth="1"/>
    <col min="28" max="28" width="6.5703125" style="37" bestFit="1" customWidth="1"/>
    <col min="29" max="29" width="6.140625" style="37" bestFit="1" customWidth="1"/>
    <col min="30" max="30" width="6.85546875" style="37" bestFit="1" customWidth="1"/>
    <col min="31" max="31" width="6.140625" style="37" bestFit="1" customWidth="1"/>
    <col min="32" max="32" width="4.7109375" style="37" bestFit="1" customWidth="1"/>
    <col min="33" max="33" width="5.85546875" style="37" bestFit="1" customWidth="1"/>
    <col min="34" max="34" width="6.42578125" style="37" bestFit="1" customWidth="1"/>
    <col min="35" max="35" width="6.5703125" style="37" bestFit="1" customWidth="1"/>
    <col min="36" max="36" width="6.140625" style="37" bestFit="1" customWidth="1"/>
    <col min="37" max="37" width="6.85546875" style="37" bestFit="1" customWidth="1"/>
    <col min="38" max="38" width="6.140625" style="37" bestFit="1" customWidth="1"/>
    <col min="39" max="39" width="4.5703125" style="37" bestFit="1" customWidth="1"/>
    <col min="40" max="40" width="5.7109375" style="37" bestFit="1" customWidth="1"/>
    <col min="41" max="45" width="9.140625" style="37"/>
    <col min="46" max="47" width="15.140625" style="37" customWidth="1"/>
    <col min="48" max="48" width="21.5703125" style="37" bestFit="1" customWidth="1"/>
    <col min="49" max="49" width="9.85546875" style="37" customWidth="1"/>
    <col min="50" max="50" width="9.28515625" style="37" customWidth="1"/>
    <col min="51" max="51" width="8.42578125" style="37" customWidth="1"/>
    <col min="52" max="52" width="11.85546875" style="37" customWidth="1"/>
    <col min="53" max="53" width="7.7109375" style="37" customWidth="1"/>
    <col min="54" max="54" width="12" style="37" customWidth="1"/>
    <col min="55" max="55" width="14" style="37" customWidth="1"/>
    <col min="56" max="56" width="16.28515625" style="37" customWidth="1"/>
    <col min="57" max="57" width="12.5703125" style="37" bestFit="1" customWidth="1"/>
    <col min="58" max="58" width="13.7109375" style="37" customWidth="1"/>
    <col min="59" max="59" width="16.7109375" style="37" customWidth="1"/>
    <col min="60" max="16384" width="9.140625" style="37"/>
  </cols>
  <sheetData>
    <row r="1" spans="1:6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6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60" x14ac:dyDescent="0.25">
      <c r="A3"/>
      <c r="B3"/>
    </row>
    <row r="4" spans="1:60" x14ac:dyDescent="0.25">
      <c r="A4"/>
      <c r="B4"/>
      <c r="E4" s="39"/>
      <c r="F4" s="39" t="s">
        <v>41</v>
      </c>
      <c r="G4" s="40">
        <v>46266</v>
      </c>
      <c r="H4" s="41">
        <f>DATEDIF($G$4,$K$4,"D")+1</f>
        <v>30</v>
      </c>
      <c r="I4" s="39" t="str">
        <f>TEXT(G4,"MMMM")</f>
        <v>September</v>
      </c>
      <c r="J4" s="39" t="s">
        <v>42</v>
      </c>
      <c r="K4" s="40">
        <f>EOMONTH(G4,0)</f>
        <v>46295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60" ht="15.75" thickBot="1" x14ac:dyDescent="0.3">
      <c r="A5"/>
      <c r="B5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</row>
    <row r="6" spans="1:60" x14ac:dyDescent="0.25">
      <c r="A6"/>
      <c r="B6"/>
      <c r="E6" s="39"/>
      <c r="F6" s="46" t="s">
        <v>44</v>
      </c>
      <c r="G6" s="47"/>
      <c r="H6" s="48"/>
      <c r="I6" s="27" t="s">
        <v>43</v>
      </c>
      <c r="J6" s="28" t="str">
        <f>TEXT(J7,"DDD")</f>
        <v>Tue</v>
      </c>
      <c r="K6" s="28" t="str">
        <f t="shared" ref="K6:AN6" si="0">TEXT(K7,"DDD")</f>
        <v>Wed</v>
      </c>
      <c r="L6" s="28" t="str">
        <f t="shared" si="0"/>
        <v>Thu</v>
      </c>
      <c r="M6" s="28" t="str">
        <f t="shared" si="0"/>
        <v>Fri</v>
      </c>
      <c r="N6" s="28" t="str">
        <f t="shared" si="0"/>
        <v>Sat</v>
      </c>
      <c r="O6" s="28" t="str">
        <f t="shared" si="0"/>
        <v>Sun</v>
      </c>
      <c r="P6" s="28" t="str">
        <f t="shared" si="0"/>
        <v>Mon</v>
      </c>
      <c r="Q6" s="28" t="str">
        <f t="shared" si="0"/>
        <v>Tue</v>
      </c>
      <c r="R6" s="28" t="str">
        <f t="shared" si="0"/>
        <v>Wed</v>
      </c>
      <c r="S6" s="28" t="str">
        <f t="shared" si="0"/>
        <v>Thu</v>
      </c>
      <c r="T6" s="28" t="str">
        <f t="shared" si="0"/>
        <v>Fri</v>
      </c>
      <c r="U6" s="28" t="str">
        <f t="shared" si="0"/>
        <v>Sat</v>
      </c>
      <c r="V6" s="28" t="str">
        <f t="shared" si="0"/>
        <v>Sun</v>
      </c>
      <c r="W6" s="28" t="str">
        <f t="shared" si="0"/>
        <v>Mon</v>
      </c>
      <c r="X6" s="28" t="str">
        <f t="shared" si="0"/>
        <v>Tue</v>
      </c>
      <c r="Y6" s="28" t="str">
        <f t="shared" si="0"/>
        <v>Wed</v>
      </c>
      <c r="Z6" s="28" t="str">
        <f t="shared" si="0"/>
        <v>Thu</v>
      </c>
      <c r="AA6" s="28" t="str">
        <f t="shared" si="0"/>
        <v>Fri</v>
      </c>
      <c r="AB6" s="28" t="str">
        <f t="shared" si="0"/>
        <v>Sat</v>
      </c>
      <c r="AC6" s="28" t="str">
        <f t="shared" si="0"/>
        <v>Sun</v>
      </c>
      <c r="AD6" s="28" t="str">
        <f t="shared" si="0"/>
        <v>Mon</v>
      </c>
      <c r="AE6" s="28" t="str">
        <f t="shared" si="0"/>
        <v>Tue</v>
      </c>
      <c r="AF6" s="28" t="str">
        <f t="shared" si="0"/>
        <v>Wed</v>
      </c>
      <c r="AG6" s="28" t="str">
        <f t="shared" si="0"/>
        <v>Thu</v>
      </c>
      <c r="AH6" s="28" t="str">
        <f t="shared" si="0"/>
        <v>Fri</v>
      </c>
      <c r="AI6" s="28" t="str">
        <f t="shared" si="0"/>
        <v>Sat</v>
      </c>
      <c r="AJ6" s="28" t="str">
        <f t="shared" si="0"/>
        <v>Sun</v>
      </c>
      <c r="AK6" s="28" t="str">
        <f t="shared" si="0"/>
        <v>Mon</v>
      </c>
      <c r="AL6" s="28" t="str">
        <f t="shared" si="0"/>
        <v>Tue</v>
      </c>
      <c r="AM6" s="28" t="str">
        <f t="shared" si="0"/>
        <v>Wed</v>
      </c>
      <c r="AN6" s="29" t="str">
        <f t="shared" si="0"/>
        <v/>
      </c>
      <c r="AO6" s="42" t="str">
        <f>IF(AN7 &lt; $K$4,AN7+1,"")</f>
        <v/>
      </c>
      <c r="AP6" s="38"/>
      <c r="AQ6" s="38"/>
      <c r="AR6" s="44"/>
      <c r="AS6" s="44"/>
      <c r="AT6" s="44"/>
      <c r="AU6" s="44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</row>
    <row r="7" spans="1:60" ht="15.75" thickBot="1" x14ac:dyDescent="0.3">
      <c r="A7"/>
      <c r="B7"/>
      <c r="E7" s="39"/>
      <c r="F7" s="30" t="s">
        <v>37</v>
      </c>
      <c r="G7" s="12" t="s">
        <v>38</v>
      </c>
      <c r="H7" s="13" t="s">
        <v>39</v>
      </c>
      <c r="I7" s="16" t="s">
        <v>40</v>
      </c>
      <c r="J7" s="17">
        <f>G4</f>
        <v>46266</v>
      </c>
      <c r="K7" s="17">
        <f t="shared" ref="K7:AN7" si="1">IF(J7 &lt; $K$4,J7+1,"")</f>
        <v>46267</v>
      </c>
      <c r="L7" s="17">
        <f t="shared" si="1"/>
        <v>46268</v>
      </c>
      <c r="M7" s="17">
        <f t="shared" si="1"/>
        <v>46269</v>
      </c>
      <c r="N7" s="17">
        <f t="shared" si="1"/>
        <v>46270</v>
      </c>
      <c r="O7" s="17">
        <f t="shared" si="1"/>
        <v>46271</v>
      </c>
      <c r="P7" s="17">
        <f t="shared" si="1"/>
        <v>46272</v>
      </c>
      <c r="Q7" s="17">
        <f t="shared" si="1"/>
        <v>46273</v>
      </c>
      <c r="R7" s="17">
        <f t="shared" si="1"/>
        <v>46274</v>
      </c>
      <c r="S7" s="17">
        <f t="shared" si="1"/>
        <v>46275</v>
      </c>
      <c r="T7" s="17">
        <f t="shared" si="1"/>
        <v>46276</v>
      </c>
      <c r="U7" s="17">
        <f t="shared" si="1"/>
        <v>46277</v>
      </c>
      <c r="V7" s="17">
        <f t="shared" si="1"/>
        <v>46278</v>
      </c>
      <c r="W7" s="17">
        <f t="shared" si="1"/>
        <v>46279</v>
      </c>
      <c r="X7" s="17">
        <f t="shared" si="1"/>
        <v>46280</v>
      </c>
      <c r="Y7" s="17">
        <f t="shared" si="1"/>
        <v>46281</v>
      </c>
      <c r="Z7" s="17">
        <f t="shared" si="1"/>
        <v>46282</v>
      </c>
      <c r="AA7" s="17">
        <f t="shared" si="1"/>
        <v>46283</v>
      </c>
      <c r="AB7" s="17">
        <f t="shared" si="1"/>
        <v>46284</v>
      </c>
      <c r="AC7" s="17">
        <f t="shared" si="1"/>
        <v>46285</v>
      </c>
      <c r="AD7" s="17">
        <f t="shared" si="1"/>
        <v>46286</v>
      </c>
      <c r="AE7" s="17">
        <f t="shared" si="1"/>
        <v>46287</v>
      </c>
      <c r="AF7" s="17">
        <f t="shared" si="1"/>
        <v>46288</v>
      </c>
      <c r="AG7" s="17">
        <f t="shared" si="1"/>
        <v>46289</v>
      </c>
      <c r="AH7" s="17">
        <f t="shared" si="1"/>
        <v>46290</v>
      </c>
      <c r="AI7" s="17">
        <f t="shared" si="1"/>
        <v>46291</v>
      </c>
      <c r="AJ7" s="17">
        <f t="shared" si="1"/>
        <v>46292</v>
      </c>
      <c r="AK7" s="17">
        <f t="shared" si="1"/>
        <v>46293</v>
      </c>
      <c r="AL7" s="17">
        <f t="shared" si="1"/>
        <v>46294</v>
      </c>
      <c r="AM7" s="17">
        <f t="shared" si="1"/>
        <v>46295</v>
      </c>
      <c r="AN7" s="31" t="str">
        <f t="shared" si="1"/>
        <v/>
      </c>
      <c r="AO7" s="39"/>
      <c r="AR7" s="43"/>
      <c r="AS7" s="18" t="s">
        <v>37</v>
      </c>
      <c r="AT7" s="18" t="s">
        <v>38</v>
      </c>
      <c r="AU7" s="18" t="s">
        <v>56</v>
      </c>
      <c r="AV7" s="19" t="s">
        <v>39</v>
      </c>
      <c r="AW7" s="18" t="s">
        <v>45</v>
      </c>
      <c r="AX7" s="18" t="s">
        <v>46</v>
      </c>
      <c r="AY7" s="18" t="s">
        <v>47</v>
      </c>
      <c r="AZ7" s="18" t="s">
        <v>48</v>
      </c>
      <c r="BA7" s="18" t="s">
        <v>49</v>
      </c>
      <c r="BB7" s="18" t="s">
        <v>50</v>
      </c>
      <c r="BC7" s="18" t="s">
        <v>51</v>
      </c>
      <c r="BD7" s="18" t="s">
        <v>52</v>
      </c>
      <c r="BE7" s="18" t="s">
        <v>53</v>
      </c>
      <c r="BF7" s="20" t="s">
        <v>54</v>
      </c>
      <c r="BG7" s="18" t="s">
        <v>55</v>
      </c>
      <c r="BH7" s="43"/>
    </row>
    <row r="8" spans="1:60" x14ac:dyDescent="0.25">
      <c r="A8"/>
      <c r="B8"/>
      <c r="E8" s="39"/>
      <c r="F8" s="24">
        <v>1</v>
      </c>
      <c r="G8" s="14" t="s">
        <v>20</v>
      </c>
      <c r="H8" s="10" t="s">
        <v>3</v>
      </c>
      <c r="I8" s="15">
        <f>COUNTIF($J$6:$AN$6,"sun")</f>
        <v>4</v>
      </c>
      <c r="J8" s="14" t="s">
        <v>57</v>
      </c>
      <c r="K8" s="14" t="s">
        <v>57</v>
      </c>
      <c r="L8" s="14" t="s">
        <v>57</v>
      </c>
      <c r="M8" s="14" t="s">
        <v>57</v>
      </c>
      <c r="N8" s="14" t="s">
        <v>57</v>
      </c>
      <c r="O8" s="14" t="str">
        <f t="shared" ref="K8:AN16" si="2">IF(O$6 = "sun","WO","")</f>
        <v>WO</v>
      </c>
      <c r="P8" s="14" t="s">
        <v>57</v>
      </c>
      <c r="Q8" s="14" t="s">
        <v>57</v>
      </c>
      <c r="R8" s="14" t="s">
        <v>57</v>
      </c>
      <c r="S8" s="14" t="s">
        <v>57</v>
      </c>
      <c r="T8" s="14" t="s">
        <v>57</v>
      </c>
      <c r="U8" s="14" t="s">
        <v>57</v>
      </c>
      <c r="V8" s="14" t="str">
        <f t="shared" si="2"/>
        <v>WO</v>
      </c>
      <c r="W8" s="14" t="s">
        <v>57</v>
      </c>
      <c r="X8" s="14" t="s">
        <v>58</v>
      </c>
      <c r="Y8" s="14" t="s">
        <v>57</v>
      </c>
      <c r="Z8" s="14" t="s">
        <v>57</v>
      </c>
      <c r="AA8" s="14" t="s">
        <v>57</v>
      </c>
      <c r="AB8" s="14" t="s">
        <v>57</v>
      </c>
      <c r="AC8" s="14" t="str">
        <f t="shared" si="2"/>
        <v>WO</v>
      </c>
      <c r="AD8" s="14" t="s">
        <v>57</v>
      </c>
      <c r="AE8" s="14" t="s">
        <v>57</v>
      </c>
      <c r="AF8" s="14" t="s">
        <v>57</v>
      </c>
      <c r="AG8" s="14" t="s">
        <v>58</v>
      </c>
      <c r="AH8" s="14" t="s">
        <v>57</v>
      </c>
      <c r="AI8" s="14" t="s">
        <v>57</v>
      </c>
      <c r="AJ8" s="14" t="str">
        <f t="shared" si="2"/>
        <v>WO</v>
      </c>
      <c r="AK8" s="14" t="s">
        <v>57</v>
      </c>
      <c r="AL8" s="14" t="s">
        <v>57</v>
      </c>
      <c r="AM8" s="14" t="s">
        <v>57</v>
      </c>
      <c r="AN8" s="32" t="s">
        <v>57</v>
      </c>
      <c r="AO8" s="39"/>
      <c r="AR8" s="43"/>
      <c r="AS8" s="22">
        <v>1</v>
      </c>
      <c r="AT8" s="14" t="s">
        <v>20</v>
      </c>
      <c r="AU8" s="14" t="str">
        <f t="shared" ref="AU8:AU24" si="3">$I$4</f>
        <v>September</v>
      </c>
      <c r="AV8" s="10" t="s">
        <v>3</v>
      </c>
      <c r="AW8" s="22">
        <f t="shared" ref="AW8:AW24" si="4">COUNTIF($J8:$AN8,"P")</f>
        <v>25</v>
      </c>
      <c r="AX8" s="22">
        <f t="shared" ref="AX8:AX24" si="5">COUNTIF($J8:$AN8,"A")</f>
        <v>0</v>
      </c>
      <c r="AY8" s="22">
        <f t="shared" ref="AY8:AY24" si="6">COUNTIF($J8:$AN8,"L")</f>
        <v>2</v>
      </c>
      <c r="AZ8" s="22">
        <f t="shared" ref="AZ8:AZ24" si="7">$I$8</f>
        <v>4</v>
      </c>
      <c r="BA8" s="22">
        <f t="shared" ref="BA8:BA24" si="8">$H$4</f>
        <v>30</v>
      </c>
      <c r="BB8" s="22">
        <f>JanMonthlyReport11[[#This Row],[Days]]-JanMonthlyReport11[[#This Row],[Absent]]</f>
        <v>30</v>
      </c>
      <c r="BC8" s="23">
        <v>100000</v>
      </c>
      <c r="BD8" s="23">
        <f>JanMonthlyReport11[[#This Row],[Basic Salary]]/JanMonthlyReport11[[#This Row],[Days]]</f>
        <v>3333.3333333333335</v>
      </c>
      <c r="BE8" s="23">
        <f>JanMonthlyReport11[[#This Row],[Per Day Salary]]*JanMonthlyReport11[[#This Row],[Absent]]</f>
        <v>0</v>
      </c>
      <c r="BF8" s="26">
        <f>JanMonthlyReport11[[#This Row],[Basic Salary]]-JanMonthlyReport11[[#This Row],[Deduction]]</f>
        <v>100000</v>
      </c>
      <c r="BG8" s="21"/>
      <c r="BH8" s="43"/>
    </row>
    <row r="9" spans="1:60" x14ac:dyDescent="0.25">
      <c r="A9"/>
      <c r="B9"/>
      <c r="E9" s="39"/>
      <c r="F9" s="24">
        <v>2</v>
      </c>
      <c r="G9" s="14" t="s">
        <v>21</v>
      </c>
      <c r="H9" s="10" t="s">
        <v>4</v>
      </c>
      <c r="I9" s="15">
        <f t="shared" ref="I9:I24" si="9">COUNTIF($J$6:$AN$6,"sun")</f>
        <v>4</v>
      </c>
      <c r="J9" s="14" t="s">
        <v>57</v>
      </c>
      <c r="K9" s="14" t="s">
        <v>57</v>
      </c>
      <c r="L9" s="14" t="s">
        <v>57</v>
      </c>
      <c r="M9" s="14" t="s">
        <v>57</v>
      </c>
      <c r="N9" s="14" t="s">
        <v>57</v>
      </c>
      <c r="O9" s="14" t="str">
        <f t="shared" si="2"/>
        <v>WO</v>
      </c>
      <c r="P9" s="14" t="s">
        <v>57</v>
      </c>
      <c r="Q9" s="14" t="s">
        <v>57</v>
      </c>
      <c r="R9" s="14" t="s">
        <v>57</v>
      </c>
      <c r="S9" s="14" t="s">
        <v>57</v>
      </c>
      <c r="T9" s="14" t="s">
        <v>57</v>
      </c>
      <c r="U9" s="14" t="s">
        <v>57</v>
      </c>
      <c r="V9" s="14" t="str">
        <f t="shared" si="2"/>
        <v>WO</v>
      </c>
      <c r="W9" s="14" t="s">
        <v>57</v>
      </c>
      <c r="X9" s="14" t="s">
        <v>58</v>
      </c>
      <c r="Y9" s="14" t="s">
        <v>57</v>
      </c>
      <c r="Z9" s="14" t="s">
        <v>57</v>
      </c>
      <c r="AA9" s="14" t="s">
        <v>57</v>
      </c>
      <c r="AB9" s="14" t="s">
        <v>57</v>
      </c>
      <c r="AC9" s="14" t="str">
        <f t="shared" si="2"/>
        <v>WO</v>
      </c>
      <c r="AD9" s="14" t="s">
        <v>57</v>
      </c>
      <c r="AE9" s="14" t="s">
        <v>57</v>
      </c>
      <c r="AF9" s="14" t="s">
        <v>57</v>
      </c>
      <c r="AG9" s="14" t="s">
        <v>58</v>
      </c>
      <c r="AH9" s="14" t="s">
        <v>57</v>
      </c>
      <c r="AI9" s="14" t="s">
        <v>57</v>
      </c>
      <c r="AJ9" s="14" t="str">
        <f t="shared" si="2"/>
        <v>WO</v>
      </c>
      <c r="AK9" s="14" t="s">
        <v>57</v>
      </c>
      <c r="AL9" s="14" t="s">
        <v>57</v>
      </c>
      <c r="AM9" s="14" t="s">
        <v>57</v>
      </c>
      <c r="AN9" s="32" t="s">
        <v>57</v>
      </c>
      <c r="AO9" s="39"/>
      <c r="AR9" s="43"/>
      <c r="AS9" s="22">
        <v>2</v>
      </c>
      <c r="AT9" s="14" t="s">
        <v>21</v>
      </c>
      <c r="AU9" s="14" t="str">
        <f t="shared" si="3"/>
        <v>September</v>
      </c>
      <c r="AV9" s="10" t="s">
        <v>4</v>
      </c>
      <c r="AW9" s="22">
        <f t="shared" si="4"/>
        <v>25</v>
      </c>
      <c r="AX9" s="22">
        <f t="shared" si="5"/>
        <v>0</v>
      </c>
      <c r="AY9" s="22">
        <f t="shared" si="6"/>
        <v>2</v>
      </c>
      <c r="AZ9" s="22">
        <f t="shared" si="7"/>
        <v>4</v>
      </c>
      <c r="BA9" s="22">
        <f t="shared" si="8"/>
        <v>30</v>
      </c>
      <c r="BB9" s="22">
        <f>JanMonthlyReport11[[#This Row],[Days]]-JanMonthlyReport11[[#This Row],[Absent]]</f>
        <v>30</v>
      </c>
      <c r="BC9" s="23">
        <v>70000</v>
      </c>
      <c r="BD9" s="23">
        <f>JanMonthlyReport11[[#This Row],[Basic Salary]]/JanMonthlyReport11[[#This Row],[Days]]</f>
        <v>2333.3333333333335</v>
      </c>
      <c r="BE9" s="23">
        <f>JanMonthlyReport11[[#This Row],[Per Day Salary]]*JanMonthlyReport11[[#This Row],[Absent]]</f>
        <v>0</v>
      </c>
      <c r="BF9" s="26">
        <f>JanMonthlyReport11[[#This Row],[Basic Salary]]-JanMonthlyReport11[[#This Row],[Deduction]]</f>
        <v>70000</v>
      </c>
      <c r="BG9" s="21"/>
      <c r="BH9" s="43"/>
    </row>
    <row r="10" spans="1:60" x14ac:dyDescent="0.25">
      <c r="A10"/>
      <c r="B10"/>
      <c r="E10" s="39"/>
      <c r="F10" s="24">
        <v>3</v>
      </c>
      <c r="G10" s="14" t="s">
        <v>22</v>
      </c>
      <c r="H10" s="10" t="s">
        <v>5</v>
      </c>
      <c r="I10" s="15">
        <f t="shared" si="9"/>
        <v>4</v>
      </c>
      <c r="J10" s="14" t="s">
        <v>57</v>
      </c>
      <c r="K10" s="14" t="s">
        <v>57</v>
      </c>
      <c r="L10" s="14" t="s">
        <v>57</v>
      </c>
      <c r="M10" s="14" t="s">
        <v>57</v>
      </c>
      <c r="N10" s="14" t="s">
        <v>57</v>
      </c>
      <c r="O10" s="14" t="str">
        <f t="shared" si="2"/>
        <v>WO</v>
      </c>
      <c r="P10" s="14" t="s">
        <v>57</v>
      </c>
      <c r="Q10" s="14" t="s">
        <v>57</v>
      </c>
      <c r="R10" s="14" t="s">
        <v>57</v>
      </c>
      <c r="S10" s="14" t="s">
        <v>57</v>
      </c>
      <c r="T10" s="14" t="s">
        <v>57</v>
      </c>
      <c r="U10" s="14" t="s">
        <v>57</v>
      </c>
      <c r="V10" s="14" t="str">
        <f t="shared" si="2"/>
        <v>WO</v>
      </c>
      <c r="W10" s="14" t="s">
        <v>57</v>
      </c>
      <c r="X10" s="14" t="s">
        <v>58</v>
      </c>
      <c r="Y10" s="14" t="s">
        <v>57</v>
      </c>
      <c r="Z10" s="14" t="s">
        <v>57</v>
      </c>
      <c r="AA10" s="14" t="s">
        <v>57</v>
      </c>
      <c r="AB10" s="14" t="s">
        <v>57</v>
      </c>
      <c r="AC10" s="14" t="str">
        <f t="shared" si="2"/>
        <v>WO</v>
      </c>
      <c r="AD10" s="14" t="s">
        <v>57</v>
      </c>
      <c r="AE10" s="14" t="s">
        <v>57</v>
      </c>
      <c r="AF10" s="14" t="s">
        <v>57</v>
      </c>
      <c r="AG10" s="14" t="s">
        <v>58</v>
      </c>
      <c r="AH10" s="14" t="s">
        <v>57</v>
      </c>
      <c r="AI10" s="14" t="s">
        <v>57</v>
      </c>
      <c r="AJ10" s="14" t="str">
        <f t="shared" si="2"/>
        <v>WO</v>
      </c>
      <c r="AK10" s="14" t="s">
        <v>57</v>
      </c>
      <c r="AL10" s="14" t="s">
        <v>57</v>
      </c>
      <c r="AM10" s="14" t="s">
        <v>57</v>
      </c>
      <c r="AN10" s="32" t="s">
        <v>57</v>
      </c>
      <c r="AO10" s="39"/>
      <c r="AR10" s="43"/>
      <c r="AS10" s="22">
        <v>3</v>
      </c>
      <c r="AT10" s="14" t="s">
        <v>22</v>
      </c>
      <c r="AU10" s="14" t="str">
        <f t="shared" si="3"/>
        <v>September</v>
      </c>
      <c r="AV10" s="10" t="s">
        <v>5</v>
      </c>
      <c r="AW10" s="22">
        <f t="shared" si="4"/>
        <v>25</v>
      </c>
      <c r="AX10" s="22">
        <f t="shared" si="5"/>
        <v>0</v>
      </c>
      <c r="AY10" s="22">
        <f t="shared" si="6"/>
        <v>2</v>
      </c>
      <c r="AZ10" s="22">
        <f t="shared" si="7"/>
        <v>4</v>
      </c>
      <c r="BA10" s="22">
        <f t="shared" si="8"/>
        <v>30</v>
      </c>
      <c r="BB10" s="22">
        <f>JanMonthlyReport11[[#This Row],[Days]]-JanMonthlyReport11[[#This Row],[Absent]]</f>
        <v>30</v>
      </c>
      <c r="BC10" s="23">
        <v>80000</v>
      </c>
      <c r="BD10" s="23">
        <f>JanMonthlyReport11[[#This Row],[Basic Salary]]/JanMonthlyReport11[[#This Row],[Days]]</f>
        <v>2666.6666666666665</v>
      </c>
      <c r="BE10" s="23">
        <f>JanMonthlyReport11[[#This Row],[Per Day Salary]]*JanMonthlyReport11[[#This Row],[Absent]]</f>
        <v>0</v>
      </c>
      <c r="BF10" s="26">
        <f>JanMonthlyReport11[[#This Row],[Basic Salary]]-JanMonthlyReport11[[#This Row],[Deduction]]</f>
        <v>80000</v>
      </c>
      <c r="BG10" s="21"/>
      <c r="BH10" s="43"/>
    </row>
    <row r="11" spans="1:60" x14ac:dyDescent="0.25">
      <c r="A11"/>
      <c r="B11"/>
      <c r="E11" s="39"/>
      <c r="F11" s="24">
        <v>4</v>
      </c>
      <c r="G11" s="14" t="s">
        <v>23</v>
      </c>
      <c r="H11" s="10" t="s">
        <v>6</v>
      </c>
      <c r="I11" s="15">
        <f t="shared" si="9"/>
        <v>4</v>
      </c>
      <c r="J11" s="14" t="s">
        <v>57</v>
      </c>
      <c r="K11" s="14" t="s">
        <v>57</v>
      </c>
      <c r="L11" s="14" t="s">
        <v>57</v>
      </c>
      <c r="M11" s="14" t="s">
        <v>57</v>
      </c>
      <c r="N11" s="14" t="s">
        <v>57</v>
      </c>
      <c r="O11" s="14" t="str">
        <f t="shared" si="2"/>
        <v>WO</v>
      </c>
      <c r="P11" s="14" t="s">
        <v>57</v>
      </c>
      <c r="Q11" s="14" t="s">
        <v>57</v>
      </c>
      <c r="R11" s="14" t="s">
        <v>57</v>
      </c>
      <c r="S11" s="14" t="s">
        <v>57</v>
      </c>
      <c r="T11" s="14" t="s">
        <v>57</v>
      </c>
      <c r="U11" s="14" t="s">
        <v>57</v>
      </c>
      <c r="V11" s="14" t="str">
        <f t="shared" si="2"/>
        <v>WO</v>
      </c>
      <c r="W11" s="14" t="s">
        <v>57</v>
      </c>
      <c r="X11" s="14" t="s">
        <v>58</v>
      </c>
      <c r="Y11" s="14" t="s">
        <v>57</v>
      </c>
      <c r="Z11" s="14" t="s">
        <v>57</v>
      </c>
      <c r="AA11" s="14" t="s">
        <v>57</v>
      </c>
      <c r="AB11" s="14" t="s">
        <v>57</v>
      </c>
      <c r="AC11" s="14" t="str">
        <f t="shared" si="2"/>
        <v>WO</v>
      </c>
      <c r="AD11" s="14" t="s">
        <v>57</v>
      </c>
      <c r="AE11" s="14" t="s">
        <v>57</v>
      </c>
      <c r="AF11" s="14" t="s">
        <v>57</v>
      </c>
      <c r="AG11" s="14" t="s">
        <v>58</v>
      </c>
      <c r="AH11" s="14" t="s">
        <v>57</v>
      </c>
      <c r="AI11" s="14" t="s">
        <v>57</v>
      </c>
      <c r="AJ11" s="14" t="str">
        <f t="shared" si="2"/>
        <v>WO</v>
      </c>
      <c r="AK11" s="14" t="s">
        <v>57</v>
      </c>
      <c r="AL11" s="14" t="s">
        <v>57</v>
      </c>
      <c r="AM11" s="14" t="s">
        <v>57</v>
      </c>
      <c r="AN11" s="32" t="s">
        <v>57</v>
      </c>
      <c r="AO11" s="39"/>
      <c r="AR11" s="43"/>
      <c r="AS11" s="22">
        <v>4</v>
      </c>
      <c r="AT11" s="14" t="s">
        <v>23</v>
      </c>
      <c r="AU11" s="14" t="str">
        <f t="shared" si="3"/>
        <v>September</v>
      </c>
      <c r="AV11" s="10" t="s">
        <v>6</v>
      </c>
      <c r="AW11" s="22">
        <f t="shared" si="4"/>
        <v>25</v>
      </c>
      <c r="AX11" s="22">
        <f t="shared" si="5"/>
        <v>0</v>
      </c>
      <c r="AY11" s="22">
        <f t="shared" si="6"/>
        <v>2</v>
      </c>
      <c r="AZ11" s="22">
        <f t="shared" si="7"/>
        <v>4</v>
      </c>
      <c r="BA11" s="22">
        <f t="shared" si="8"/>
        <v>30</v>
      </c>
      <c r="BB11" s="22">
        <f>JanMonthlyReport11[[#This Row],[Days]]-JanMonthlyReport11[[#This Row],[Absent]]</f>
        <v>30</v>
      </c>
      <c r="BC11" s="23">
        <v>75000</v>
      </c>
      <c r="BD11" s="23">
        <f>JanMonthlyReport11[[#This Row],[Basic Salary]]/JanMonthlyReport11[[#This Row],[Days]]</f>
        <v>2500</v>
      </c>
      <c r="BE11" s="23">
        <f>JanMonthlyReport11[[#This Row],[Per Day Salary]]*JanMonthlyReport11[[#This Row],[Absent]]</f>
        <v>0</v>
      </c>
      <c r="BF11" s="26">
        <f>JanMonthlyReport11[[#This Row],[Basic Salary]]-JanMonthlyReport11[[#This Row],[Deduction]]</f>
        <v>75000</v>
      </c>
      <c r="BG11" s="21"/>
      <c r="BH11" s="43"/>
    </row>
    <row r="12" spans="1:60" x14ac:dyDescent="0.25">
      <c r="A12"/>
      <c r="B12"/>
      <c r="E12" s="39"/>
      <c r="F12" s="24">
        <v>5</v>
      </c>
      <c r="G12" s="14" t="s">
        <v>24</v>
      </c>
      <c r="H12" s="10" t="s">
        <v>7</v>
      </c>
      <c r="I12" s="15">
        <f t="shared" si="9"/>
        <v>4</v>
      </c>
      <c r="J12" s="14" t="s">
        <v>57</v>
      </c>
      <c r="K12" s="14" t="s">
        <v>57</v>
      </c>
      <c r="L12" s="14" t="s">
        <v>57</v>
      </c>
      <c r="M12" s="14" t="s">
        <v>57</v>
      </c>
      <c r="N12" s="14" t="s">
        <v>57</v>
      </c>
      <c r="O12" s="14" t="str">
        <f t="shared" si="2"/>
        <v>WO</v>
      </c>
      <c r="P12" s="14" t="s">
        <v>57</v>
      </c>
      <c r="Q12" s="14" t="s">
        <v>57</v>
      </c>
      <c r="R12" s="14" t="s">
        <v>57</v>
      </c>
      <c r="S12" s="14" t="s">
        <v>57</v>
      </c>
      <c r="T12" s="14" t="s">
        <v>57</v>
      </c>
      <c r="U12" s="14" t="s">
        <v>57</v>
      </c>
      <c r="V12" s="14" t="str">
        <f t="shared" si="2"/>
        <v>WO</v>
      </c>
      <c r="W12" s="14" t="s">
        <v>57</v>
      </c>
      <c r="X12" s="14" t="s">
        <v>58</v>
      </c>
      <c r="Y12" s="14" t="s">
        <v>57</v>
      </c>
      <c r="Z12" s="14" t="s">
        <v>57</v>
      </c>
      <c r="AA12" s="14" t="s">
        <v>57</v>
      </c>
      <c r="AB12" s="14" t="s">
        <v>57</v>
      </c>
      <c r="AC12" s="14" t="str">
        <f t="shared" si="2"/>
        <v>WO</v>
      </c>
      <c r="AD12" s="14" t="s">
        <v>57</v>
      </c>
      <c r="AE12" s="14" t="s">
        <v>57</v>
      </c>
      <c r="AF12" s="14" t="s">
        <v>57</v>
      </c>
      <c r="AG12" s="14" t="s">
        <v>58</v>
      </c>
      <c r="AH12" s="14" t="s">
        <v>57</v>
      </c>
      <c r="AI12" s="14" t="s">
        <v>57</v>
      </c>
      <c r="AJ12" s="14" t="str">
        <f t="shared" si="2"/>
        <v>WO</v>
      </c>
      <c r="AK12" s="14" t="s">
        <v>57</v>
      </c>
      <c r="AL12" s="14" t="s">
        <v>57</v>
      </c>
      <c r="AM12" s="14" t="s">
        <v>57</v>
      </c>
      <c r="AN12" s="32" t="s">
        <v>57</v>
      </c>
      <c r="AO12" s="39"/>
      <c r="AR12" s="43"/>
      <c r="AS12" s="22">
        <v>5</v>
      </c>
      <c r="AT12" s="14" t="s">
        <v>24</v>
      </c>
      <c r="AU12" s="14" t="str">
        <f t="shared" si="3"/>
        <v>September</v>
      </c>
      <c r="AV12" s="10" t="s">
        <v>7</v>
      </c>
      <c r="AW12" s="22">
        <f t="shared" si="4"/>
        <v>25</v>
      </c>
      <c r="AX12" s="22">
        <f t="shared" si="5"/>
        <v>0</v>
      </c>
      <c r="AY12" s="22">
        <f t="shared" si="6"/>
        <v>2</v>
      </c>
      <c r="AZ12" s="22">
        <f t="shared" si="7"/>
        <v>4</v>
      </c>
      <c r="BA12" s="22">
        <f t="shared" si="8"/>
        <v>30</v>
      </c>
      <c r="BB12" s="22">
        <f>JanMonthlyReport11[[#This Row],[Days]]-JanMonthlyReport11[[#This Row],[Absent]]</f>
        <v>30</v>
      </c>
      <c r="BC12" s="23">
        <v>16000</v>
      </c>
      <c r="BD12" s="23">
        <f>JanMonthlyReport11[[#This Row],[Basic Salary]]/JanMonthlyReport11[[#This Row],[Days]]</f>
        <v>533.33333333333337</v>
      </c>
      <c r="BE12" s="23">
        <f>JanMonthlyReport11[[#This Row],[Per Day Salary]]*JanMonthlyReport11[[#This Row],[Absent]]</f>
        <v>0</v>
      </c>
      <c r="BF12" s="26">
        <f>JanMonthlyReport11[[#This Row],[Basic Salary]]-JanMonthlyReport11[[#This Row],[Deduction]]</f>
        <v>16000</v>
      </c>
      <c r="BG12" s="21"/>
      <c r="BH12" s="43"/>
    </row>
    <row r="13" spans="1:60" x14ac:dyDescent="0.25">
      <c r="A13"/>
      <c r="B13"/>
      <c r="E13" s="39"/>
      <c r="F13" s="24">
        <v>6</v>
      </c>
      <c r="G13" s="14" t="s">
        <v>25</v>
      </c>
      <c r="H13" s="10" t="s">
        <v>8</v>
      </c>
      <c r="I13" s="15">
        <f t="shared" si="9"/>
        <v>4</v>
      </c>
      <c r="J13" s="14" t="s">
        <v>57</v>
      </c>
      <c r="K13" s="14" t="s">
        <v>57</v>
      </c>
      <c r="L13" s="14" t="s">
        <v>57</v>
      </c>
      <c r="M13" s="14" t="s">
        <v>57</v>
      </c>
      <c r="N13" s="14" t="s">
        <v>57</v>
      </c>
      <c r="O13" s="14" t="str">
        <f t="shared" si="2"/>
        <v>WO</v>
      </c>
      <c r="P13" s="14" t="s">
        <v>57</v>
      </c>
      <c r="Q13" s="14" t="s">
        <v>57</v>
      </c>
      <c r="R13" s="14" t="s">
        <v>57</v>
      </c>
      <c r="S13" s="14" t="s">
        <v>57</v>
      </c>
      <c r="T13" s="14" t="s">
        <v>57</v>
      </c>
      <c r="U13" s="14" t="s">
        <v>57</v>
      </c>
      <c r="V13" s="14" t="str">
        <f t="shared" si="2"/>
        <v>WO</v>
      </c>
      <c r="W13" s="14" t="s">
        <v>57</v>
      </c>
      <c r="X13" s="14" t="s">
        <v>58</v>
      </c>
      <c r="Y13" s="14" t="s">
        <v>57</v>
      </c>
      <c r="Z13" s="14" t="s">
        <v>57</v>
      </c>
      <c r="AA13" s="14" t="s">
        <v>57</v>
      </c>
      <c r="AB13" s="14" t="s">
        <v>57</v>
      </c>
      <c r="AC13" s="14" t="str">
        <f t="shared" si="2"/>
        <v>WO</v>
      </c>
      <c r="AD13" s="14" t="s">
        <v>57</v>
      </c>
      <c r="AE13" s="14" t="s">
        <v>57</v>
      </c>
      <c r="AF13" s="14" t="s">
        <v>57</v>
      </c>
      <c r="AG13" s="14" t="s">
        <v>58</v>
      </c>
      <c r="AH13" s="14" t="s">
        <v>57</v>
      </c>
      <c r="AI13" s="14" t="s">
        <v>57</v>
      </c>
      <c r="AJ13" s="14" t="str">
        <f t="shared" si="2"/>
        <v>WO</v>
      </c>
      <c r="AK13" s="14" t="s">
        <v>57</v>
      </c>
      <c r="AL13" s="14" t="s">
        <v>57</v>
      </c>
      <c r="AM13" s="14" t="s">
        <v>57</v>
      </c>
      <c r="AN13" s="32" t="s">
        <v>57</v>
      </c>
      <c r="AO13" s="39"/>
      <c r="AR13" s="43"/>
      <c r="AS13" s="22">
        <v>6</v>
      </c>
      <c r="AT13" s="14" t="s">
        <v>25</v>
      </c>
      <c r="AU13" s="14" t="str">
        <f t="shared" si="3"/>
        <v>September</v>
      </c>
      <c r="AV13" s="10" t="s">
        <v>8</v>
      </c>
      <c r="AW13" s="22">
        <f t="shared" si="4"/>
        <v>25</v>
      </c>
      <c r="AX13" s="22">
        <f t="shared" si="5"/>
        <v>0</v>
      </c>
      <c r="AY13" s="22">
        <f t="shared" si="6"/>
        <v>2</v>
      </c>
      <c r="AZ13" s="22">
        <f t="shared" si="7"/>
        <v>4</v>
      </c>
      <c r="BA13" s="22">
        <f t="shared" si="8"/>
        <v>30</v>
      </c>
      <c r="BB13" s="22">
        <f>JanMonthlyReport11[[#This Row],[Days]]-JanMonthlyReport11[[#This Row],[Absent]]</f>
        <v>30</v>
      </c>
      <c r="BC13" s="23">
        <v>12000</v>
      </c>
      <c r="BD13" s="23">
        <f>JanMonthlyReport11[[#This Row],[Basic Salary]]/JanMonthlyReport11[[#This Row],[Days]]</f>
        <v>400</v>
      </c>
      <c r="BE13" s="23">
        <f>JanMonthlyReport11[[#This Row],[Per Day Salary]]*JanMonthlyReport11[[#This Row],[Absent]]</f>
        <v>0</v>
      </c>
      <c r="BF13" s="26">
        <f>JanMonthlyReport11[[#This Row],[Basic Salary]]-JanMonthlyReport11[[#This Row],[Deduction]]</f>
        <v>12000</v>
      </c>
      <c r="BG13" s="21"/>
      <c r="BH13" s="43"/>
    </row>
    <row r="14" spans="1:60" x14ac:dyDescent="0.25">
      <c r="A14"/>
      <c r="B14"/>
      <c r="E14" s="39"/>
      <c r="F14" s="24">
        <v>7</v>
      </c>
      <c r="G14" s="14" t="s">
        <v>26</v>
      </c>
      <c r="H14" s="10" t="s">
        <v>9</v>
      </c>
      <c r="I14" s="15">
        <f t="shared" si="9"/>
        <v>4</v>
      </c>
      <c r="J14" s="14" t="s">
        <v>57</v>
      </c>
      <c r="K14" s="14" t="s">
        <v>57</v>
      </c>
      <c r="L14" s="14" t="s">
        <v>57</v>
      </c>
      <c r="M14" s="14" t="s">
        <v>57</v>
      </c>
      <c r="N14" s="14" t="s">
        <v>57</v>
      </c>
      <c r="O14" s="14" t="str">
        <f t="shared" si="2"/>
        <v>WO</v>
      </c>
      <c r="P14" s="14" t="s">
        <v>57</v>
      </c>
      <c r="Q14" s="14" t="s">
        <v>57</v>
      </c>
      <c r="R14" s="14" t="s">
        <v>57</v>
      </c>
      <c r="S14" s="14" t="s">
        <v>57</v>
      </c>
      <c r="T14" s="14" t="s">
        <v>57</v>
      </c>
      <c r="U14" s="14" t="s">
        <v>57</v>
      </c>
      <c r="V14" s="14" t="str">
        <f t="shared" si="2"/>
        <v>WO</v>
      </c>
      <c r="W14" s="14" t="s">
        <v>57</v>
      </c>
      <c r="X14" s="14" t="s">
        <v>58</v>
      </c>
      <c r="Y14" s="14" t="s">
        <v>57</v>
      </c>
      <c r="Z14" s="14" t="s">
        <v>57</v>
      </c>
      <c r="AA14" s="14" t="s">
        <v>57</v>
      </c>
      <c r="AB14" s="14" t="s">
        <v>57</v>
      </c>
      <c r="AC14" s="14" t="str">
        <f t="shared" si="2"/>
        <v>WO</v>
      </c>
      <c r="AD14" s="14" t="s">
        <v>57</v>
      </c>
      <c r="AE14" s="14" t="s">
        <v>57</v>
      </c>
      <c r="AF14" s="14" t="s">
        <v>57</v>
      </c>
      <c r="AG14" s="14" t="s">
        <v>58</v>
      </c>
      <c r="AH14" s="14" t="s">
        <v>57</v>
      </c>
      <c r="AI14" s="14" t="s">
        <v>57</v>
      </c>
      <c r="AJ14" s="14" t="str">
        <f t="shared" si="2"/>
        <v>WO</v>
      </c>
      <c r="AK14" s="14" t="s">
        <v>57</v>
      </c>
      <c r="AL14" s="14" t="s">
        <v>57</v>
      </c>
      <c r="AM14" s="14" t="s">
        <v>57</v>
      </c>
      <c r="AN14" s="32" t="s">
        <v>57</v>
      </c>
      <c r="AO14" s="39"/>
      <c r="AR14" s="43"/>
      <c r="AS14" s="22">
        <v>7</v>
      </c>
      <c r="AT14" s="14" t="s">
        <v>26</v>
      </c>
      <c r="AU14" s="14" t="str">
        <f t="shared" si="3"/>
        <v>September</v>
      </c>
      <c r="AV14" s="10" t="s">
        <v>9</v>
      </c>
      <c r="AW14" s="22">
        <f t="shared" si="4"/>
        <v>25</v>
      </c>
      <c r="AX14" s="22">
        <f t="shared" si="5"/>
        <v>0</v>
      </c>
      <c r="AY14" s="22">
        <f t="shared" si="6"/>
        <v>2</v>
      </c>
      <c r="AZ14" s="22">
        <f t="shared" si="7"/>
        <v>4</v>
      </c>
      <c r="BA14" s="22">
        <f t="shared" si="8"/>
        <v>30</v>
      </c>
      <c r="BB14" s="22">
        <f>JanMonthlyReport11[[#This Row],[Days]]-JanMonthlyReport11[[#This Row],[Absent]]</f>
        <v>30</v>
      </c>
      <c r="BC14" s="23">
        <v>13000</v>
      </c>
      <c r="BD14" s="23">
        <f>JanMonthlyReport11[[#This Row],[Basic Salary]]/JanMonthlyReport11[[#This Row],[Days]]</f>
        <v>433.33333333333331</v>
      </c>
      <c r="BE14" s="23">
        <f>JanMonthlyReport11[[#This Row],[Per Day Salary]]*JanMonthlyReport11[[#This Row],[Absent]]</f>
        <v>0</v>
      </c>
      <c r="BF14" s="26">
        <f>JanMonthlyReport11[[#This Row],[Basic Salary]]-JanMonthlyReport11[[#This Row],[Deduction]]</f>
        <v>13000</v>
      </c>
      <c r="BG14" s="21"/>
      <c r="BH14" s="43"/>
    </row>
    <row r="15" spans="1:60" x14ac:dyDescent="0.25">
      <c r="A15"/>
      <c r="B15"/>
      <c r="E15" s="39"/>
      <c r="F15" s="24">
        <v>8</v>
      </c>
      <c r="G15" s="14" t="s">
        <v>27</v>
      </c>
      <c r="H15" s="10" t="s">
        <v>11</v>
      </c>
      <c r="I15" s="15">
        <f t="shared" si="9"/>
        <v>4</v>
      </c>
      <c r="J15" s="14" t="s">
        <v>57</v>
      </c>
      <c r="K15" s="14" t="s">
        <v>57</v>
      </c>
      <c r="L15" s="14" t="s">
        <v>57</v>
      </c>
      <c r="M15" s="14" t="s">
        <v>57</v>
      </c>
      <c r="N15" s="14" t="s">
        <v>57</v>
      </c>
      <c r="O15" s="14" t="str">
        <f t="shared" si="2"/>
        <v>WO</v>
      </c>
      <c r="P15" s="14" t="s">
        <v>57</v>
      </c>
      <c r="Q15" s="14" t="s">
        <v>57</v>
      </c>
      <c r="R15" s="14" t="s">
        <v>57</v>
      </c>
      <c r="S15" s="14" t="s">
        <v>57</v>
      </c>
      <c r="T15" s="14" t="s">
        <v>57</v>
      </c>
      <c r="U15" s="14" t="s">
        <v>57</v>
      </c>
      <c r="V15" s="14" t="str">
        <f t="shared" si="2"/>
        <v>WO</v>
      </c>
      <c r="W15" s="14" t="s">
        <v>57</v>
      </c>
      <c r="X15" s="14" t="s">
        <v>58</v>
      </c>
      <c r="Y15" s="14" t="s">
        <v>57</v>
      </c>
      <c r="Z15" s="14" t="s">
        <v>57</v>
      </c>
      <c r="AA15" s="14" t="s">
        <v>57</v>
      </c>
      <c r="AB15" s="14" t="s">
        <v>57</v>
      </c>
      <c r="AC15" s="14" t="str">
        <f t="shared" si="2"/>
        <v>WO</v>
      </c>
      <c r="AD15" s="14" t="s">
        <v>57</v>
      </c>
      <c r="AE15" s="14" t="s">
        <v>57</v>
      </c>
      <c r="AF15" s="14" t="s">
        <v>57</v>
      </c>
      <c r="AG15" s="14" t="s">
        <v>58</v>
      </c>
      <c r="AH15" s="14" t="s">
        <v>57</v>
      </c>
      <c r="AI15" s="14" t="s">
        <v>57</v>
      </c>
      <c r="AJ15" s="14" t="str">
        <f t="shared" si="2"/>
        <v>WO</v>
      </c>
      <c r="AK15" s="14" t="s">
        <v>57</v>
      </c>
      <c r="AL15" s="14" t="s">
        <v>57</v>
      </c>
      <c r="AM15" s="14" t="s">
        <v>59</v>
      </c>
      <c r="AN15" s="32" t="s">
        <v>57</v>
      </c>
      <c r="AO15" s="39"/>
      <c r="AR15" s="43"/>
      <c r="AS15" s="22">
        <v>8</v>
      </c>
      <c r="AT15" s="14" t="s">
        <v>27</v>
      </c>
      <c r="AU15" s="14" t="str">
        <f t="shared" si="3"/>
        <v>September</v>
      </c>
      <c r="AV15" s="10" t="s">
        <v>11</v>
      </c>
      <c r="AW15" s="22">
        <f t="shared" si="4"/>
        <v>24</v>
      </c>
      <c r="AX15" s="22">
        <f t="shared" si="5"/>
        <v>1</v>
      </c>
      <c r="AY15" s="22">
        <f t="shared" si="6"/>
        <v>2</v>
      </c>
      <c r="AZ15" s="22">
        <f t="shared" si="7"/>
        <v>4</v>
      </c>
      <c r="BA15" s="22">
        <f t="shared" si="8"/>
        <v>30</v>
      </c>
      <c r="BB15" s="22">
        <f>JanMonthlyReport11[[#This Row],[Days]]-JanMonthlyReport11[[#This Row],[Absent]]</f>
        <v>29</v>
      </c>
      <c r="BC15" s="23">
        <v>8000</v>
      </c>
      <c r="BD15" s="23">
        <f>JanMonthlyReport11[[#This Row],[Basic Salary]]/JanMonthlyReport11[[#This Row],[Days]]</f>
        <v>266.66666666666669</v>
      </c>
      <c r="BE15" s="23">
        <f>JanMonthlyReport11[[#This Row],[Per Day Salary]]*JanMonthlyReport11[[#This Row],[Absent]]</f>
        <v>266.66666666666669</v>
      </c>
      <c r="BF15" s="26">
        <f>JanMonthlyReport11[[#This Row],[Basic Salary]]-JanMonthlyReport11[[#This Row],[Deduction]]</f>
        <v>7733.333333333333</v>
      </c>
      <c r="BG15" s="21"/>
      <c r="BH15" s="43"/>
    </row>
    <row r="16" spans="1:60" x14ac:dyDescent="0.25">
      <c r="A16"/>
      <c r="B16"/>
      <c r="E16" s="39"/>
      <c r="F16" s="24">
        <v>9</v>
      </c>
      <c r="G16" s="14" t="s">
        <v>28</v>
      </c>
      <c r="H16" s="10" t="s">
        <v>10</v>
      </c>
      <c r="I16" s="15">
        <f t="shared" si="9"/>
        <v>4</v>
      </c>
      <c r="J16" s="14" t="s">
        <v>57</v>
      </c>
      <c r="K16" s="14" t="s">
        <v>57</v>
      </c>
      <c r="L16" s="14" t="s">
        <v>57</v>
      </c>
      <c r="M16" s="14" t="s">
        <v>57</v>
      </c>
      <c r="N16" s="14" t="s">
        <v>57</v>
      </c>
      <c r="O16" s="14" t="str">
        <f t="shared" si="2"/>
        <v>WO</v>
      </c>
      <c r="P16" s="14" t="s">
        <v>57</v>
      </c>
      <c r="Q16" s="14" t="s">
        <v>57</v>
      </c>
      <c r="R16" s="14" t="s">
        <v>57</v>
      </c>
      <c r="S16" s="14" t="s">
        <v>57</v>
      </c>
      <c r="T16" s="14" t="s">
        <v>57</v>
      </c>
      <c r="U16" s="14" t="s">
        <v>57</v>
      </c>
      <c r="V16" s="14" t="str">
        <f t="shared" si="2"/>
        <v>WO</v>
      </c>
      <c r="W16" s="14" t="s">
        <v>57</v>
      </c>
      <c r="X16" s="14" t="s">
        <v>58</v>
      </c>
      <c r="Y16" s="14" t="s">
        <v>57</v>
      </c>
      <c r="Z16" s="14" t="s">
        <v>57</v>
      </c>
      <c r="AA16" s="14" t="s">
        <v>57</v>
      </c>
      <c r="AB16" s="14" t="s">
        <v>57</v>
      </c>
      <c r="AC16" s="14" t="str">
        <f t="shared" ref="Z16:AN24" si="10">IF(AC$6 = "sun","WO","")</f>
        <v>WO</v>
      </c>
      <c r="AD16" s="14" t="s">
        <v>57</v>
      </c>
      <c r="AE16" s="14" t="s">
        <v>57</v>
      </c>
      <c r="AF16" s="14" t="s">
        <v>57</v>
      </c>
      <c r="AG16" s="14" t="s">
        <v>58</v>
      </c>
      <c r="AH16" s="14" t="s">
        <v>57</v>
      </c>
      <c r="AI16" s="14" t="s">
        <v>57</v>
      </c>
      <c r="AJ16" s="14" t="str">
        <f t="shared" si="10"/>
        <v>WO</v>
      </c>
      <c r="AK16" s="14" t="s">
        <v>57</v>
      </c>
      <c r="AL16" s="14" t="s">
        <v>57</v>
      </c>
      <c r="AM16" s="14" t="s">
        <v>57</v>
      </c>
      <c r="AN16" s="32" t="s">
        <v>57</v>
      </c>
      <c r="AO16" s="39"/>
      <c r="AR16" s="43"/>
      <c r="AS16" s="22">
        <v>9</v>
      </c>
      <c r="AT16" s="14" t="s">
        <v>28</v>
      </c>
      <c r="AU16" s="14" t="str">
        <f t="shared" si="3"/>
        <v>September</v>
      </c>
      <c r="AV16" s="10" t="s">
        <v>10</v>
      </c>
      <c r="AW16" s="22">
        <f t="shared" si="4"/>
        <v>25</v>
      </c>
      <c r="AX16" s="22">
        <f t="shared" si="5"/>
        <v>0</v>
      </c>
      <c r="AY16" s="22">
        <f t="shared" si="6"/>
        <v>2</v>
      </c>
      <c r="AZ16" s="22">
        <f t="shared" si="7"/>
        <v>4</v>
      </c>
      <c r="BA16" s="22">
        <f t="shared" si="8"/>
        <v>30</v>
      </c>
      <c r="BB16" s="22">
        <f>JanMonthlyReport11[[#This Row],[Days]]-JanMonthlyReport11[[#This Row],[Absent]]</f>
        <v>30</v>
      </c>
      <c r="BC16" s="23">
        <v>10000</v>
      </c>
      <c r="BD16" s="23">
        <f>JanMonthlyReport11[[#This Row],[Basic Salary]]/JanMonthlyReport11[[#This Row],[Days]]</f>
        <v>333.33333333333331</v>
      </c>
      <c r="BE16" s="23">
        <f>JanMonthlyReport11[[#This Row],[Per Day Salary]]*JanMonthlyReport11[[#This Row],[Absent]]</f>
        <v>0</v>
      </c>
      <c r="BF16" s="26">
        <f>JanMonthlyReport11[[#This Row],[Basic Salary]]-JanMonthlyReport11[[#This Row],[Deduction]]</f>
        <v>10000</v>
      </c>
      <c r="BG16" s="21"/>
      <c r="BH16" s="43"/>
    </row>
    <row r="17" spans="1:60" x14ac:dyDescent="0.25">
      <c r="A17"/>
      <c r="B17"/>
      <c r="E17" s="39"/>
      <c r="F17" s="24">
        <v>10</v>
      </c>
      <c r="G17" s="14" t="s">
        <v>29</v>
      </c>
      <c r="H17" s="10" t="s">
        <v>12</v>
      </c>
      <c r="I17" s="15">
        <f t="shared" si="9"/>
        <v>4</v>
      </c>
      <c r="J17" s="14" t="s">
        <v>57</v>
      </c>
      <c r="K17" s="14" t="s">
        <v>57</v>
      </c>
      <c r="L17" s="14" t="s">
        <v>57</v>
      </c>
      <c r="M17" s="14" t="s">
        <v>57</v>
      </c>
      <c r="N17" s="14" t="s">
        <v>57</v>
      </c>
      <c r="O17" s="14" t="str">
        <f t="shared" ref="J9:Y24" si="11">IF(O$6 = "sun","WO","")</f>
        <v>WO</v>
      </c>
      <c r="P17" s="14" t="s">
        <v>57</v>
      </c>
      <c r="Q17" s="14" t="s">
        <v>57</v>
      </c>
      <c r="R17" s="14" t="s">
        <v>57</v>
      </c>
      <c r="S17" s="14" t="s">
        <v>57</v>
      </c>
      <c r="T17" s="14" t="s">
        <v>57</v>
      </c>
      <c r="U17" s="14" t="s">
        <v>57</v>
      </c>
      <c r="V17" s="14" t="str">
        <f t="shared" si="11"/>
        <v>WO</v>
      </c>
      <c r="W17" s="14" t="s">
        <v>57</v>
      </c>
      <c r="X17" s="14" t="s">
        <v>58</v>
      </c>
      <c r="Y17" s="14" t="s">
        <v>57</v>
      </c>
      <c r="Z17" s="14" t="s">
        <v>57</v>
      </c>
      <c r="AA17" s="14" t="s">
        <v>57</v>
      </c>
      <c r="AB17" s="14" t="s">
        <v>57</v>
      </c>
      <c r="AC17" s="14" t="str">
        <f t="shared" si="10"/>
        <v>WO</v>
      </c>
      <c r="AD17" s="14" t="s">
        <v>57</v>
      </c>
      <c r="AE17" s="14" t="s">
        <v>57</v>
      </c>
      <c r="AF17" s="14" t="s">
        <v>57</v>
      </c>
      <c r="AG17" s="14" t="s">
        <v>58</v>
      </c>
      <c r="AH17" s="14" t="s">
        <v>57</v>
      </c>
      <c r="AI17" s="14" t="s">
        <v>57</v>
      </c>
      <c r="AJ17" s="14" t="str">
        <f t="shared" si="10"/>
        <v>WO</v>
      </c>
      <c r="AK17" s="14" t="s">
        <v>57</v>
      </c>
      <c r="AL17" s="14" t="s">
        <v>57</v>
      </c>
      <c r="AM17" s="14" t="s">
        <v>57</v>
      </c>
      <c r="AN17" s="32" t="s">
        <v>57</v>
      </c>
      <c r="AO17" s="39"/>
      <c r="AR17" s="43"/>
      <c r="AS17" s="22">
        <v>10</v>
      </c>
      <c r="AT17" s="14" t="s">
        <v>29</v>
      </c>
      <c r="AU17" s="14" t="str">
        <f t="shared" si="3"/>
        <v>September</v>
      </c>
      <c r="AV17" s="10" t="s">
        <v>12</v>
      </c>
      <c r="AW17" s="22">
        <f t="shared" si="4"/>
        <v>25</v>
      </c>
      <c r="AX17" s="22">
        <f t="shared" si="5"/>
        <v>0</v>
      </c>
      <c r="AY17" s="22">
        <f t="shared" si="6"/>
        <v>2</v>
      </c>
      <c r="AZ17" s="22">
        <f t="shared" si="7"/>
        <v>4</v>
      </c>
      <c r="BA17" s="22">
        <f t="shared" si="8"/>
        <v>30</v>
      </c>
      <c r="BB17" s="22">
        <f>JanMonthlyReport11[[#This Row],[Days]]-JanMonthlyReport11[[#This Row],[Absent]]</f>
        <v>30</v>
      </c>
      <c r="BC17" s="23">
        <v>13000</v>
      </c>
      <c r="BD17" s="23">
        <f>JanMonthlyReport11[[#This Row],[Basic Salary]]/JanMonthlyReport11[[#This Row],[Days]]</f>
        <v>433.33333333333331</v>
      </c>
      <c r="BE17" s="23">
        <f>JanMonthlyReport11[[#This Row],[Per Day Salary]]*JanMonthlyReport11[[#This Row],[Absent]]</f>
        <v>0</v>
      </c>
      <c r="BF17" s="26">
        <f>JanMonthlyReport11[[#This Row],[Basic Salary]]-JanMonthlyReport11[[#This Row],[Deduction]]</f>
        <v>13000</v>
      </c>
      <c r="BG17" s="21"/>
      <c r="BH17" s="43"/>
    </row>
    <row r="18" spans="1:60" x14ac:dyDescent="0.25">
      <c r="A18"/>
      <c r="B18"/>
      <c r="E18" s="39"/>
      <c r="F18" s="24">
        <v>11</v>
      </c>
      <c r="G18" s="14" t="s">
        <v>30</v>
      </c>
      <c r="H18" s="10" t="s">
        <v>13</v>
      </c>
      <c r="I18" s="15">
        <f t="shared" si="9"/>
        <v>4</v>
      </c>
      <c r="J18" s="14" t="s">
        <v>57</v>
      </c>
      <c r="K18" s="14" t="s">
        <v>57</v>
      </c>
      <c r="L18" s="14" t="s">
        <v>57</v>
      </c>
      <c r="M18" s="14" t="s">
        <v>57</v>
      </c>
      <c r="N18" s="14" t="s">
        <v>57</v>
      </c>
      <c r="O18" s="14" t="str">
        <f t="shared" si="11"/>
        <v>WO</v>
      </c>
      <c r="P18" s="14" t="s">
        <v>57</v>
      </c>
      <c r="Q18" s="14" t="s">
        <v>57</v>
      </c>
      <c r="R18" s="14" t="s">
        <v>57</v>
      </c>
      <c r="S18" s="14" t="s">
        <v>57</v>
      </c>
      <c r="T18" s="14" t="s">
        <v>57</v>
      </c>
      <c r="U18" s="14" t="s">
        <v>57</v>
      </c>
      <c r="V18" s="14" t="str">
        <f t="shared" si="11"/>
        <v>WO</v>
      </c>
      <c r="W18" s="14" t="s">
        <v>57</v>
      </c>
      <c r="X18" s="14" t="s">
        <v>58</v>
      </c>
      <c r="Y18" s="14" t="s">
        <v>57</v>
      </c>
      <c r="Z18" s="14" t="s">
        <v>57</v>
      </c>
      <c r="AA18" s="14" t="s">
        <v>57</v>
      </c>
      <c r="AB18" s="14" t="s">
        <v>57</v>
      </c>
      <c r="AC18" s="14" t="str">
        <f t="shared" si="10"/>
        <v>WO</v>
      </c>
      <c r="AD18" s="14" t="s">
        <v>57</v>
      </c>
      <c r="AE18" s="14" t="s">
        <v>57</v>
      </c>
      <c r="AF18" s="14" t="s">
        <v>57</v>
      </c>
      <c r="AG18" s="14" t="s">
        <v>58</v>
      </c>
      <c r="AH18" s="14" t="s">
        <v>57</v>
      </c>
      <c r="AI18" s="14" t="s">
        <v>57</v>
      </c>
      <c r="AJ18" s="14" t="str">
        <f t="shared" si="10"/>
        <v>WO</v>
      </c>
      <c r="AK18" s="14" t="s">
        <v>57</v>
      </c>
      <c r="AL18" s="14" t="s">
        <v>57</v>
      </c>
      <c r="AM18" s="14" t="s">
        <v>57</v>
      </c>
      <c r="AN18" s="32" t="s">
        <v>57</v>
      </c>
      <c r="AO18" s="39"/>
      <c r="AR18" s="43"/>
      <c r="AS18" s="22">
        <v>11</v>
      </c>
      <c r="AT18" s="14" t="s">
        <v>30</v>
      </c>
      <c r="AU18" s="14" t="str">
        <f t="shared" si="3"/>
        <v>September</v>
      </c>
      <c r="AV18" s="10" t="s">
        <v>13</v>
      </c>
      <c r="AW18" s="22">
        <f t="shared" si="4"/>
        <v>25</v>
      </c>
      <c r="AX18" s="22">
        <f t="shared" si="5"/>
        <v>0</v>
      </c>
      <c r="AY18" s="22">
        <f t="shared" si="6"/>
        <v>2</v>
      </c>
      <c r="AZ18" s="22">
        <f t="shared" si="7"/>
        <v>4</v>
      </c>
      <c r="BA18" s="22">
        <f t="shared" si="8"/>
        <v>30</v>
      </c>
      <c r="BB18" s="22">
        <f>JanMonthlyReport11[[#This Row],[Days]]-JanMonthlyReport11[[#This Row],[Absent]]</f>
        <v>30</v>
      </c>
      <c r="BC18" s="23">
        <v>10000</v>
      </c>
      <c r="BD18" s="23">
        <f>JanMonthlyReport11[[#This Row],[Basic Salary]]/JanMonthlyReport11[[#This Row],[Days]]</f>
        <v>333.33333333333331</v>
      </c>
      <c r="BE18" s="23">
        <f>JanMonthlyReport11[[#This Row],[Per Day Salary]]*JanMonthlyReport11[[#This Row],[Absent]]</f>
        <v>0</v>
      </c>
      <c r="BF18" s="26">
        <f>JanMonthlyReport11[[#This Row],[Basic Salary]]-JanMonthlyReport11[[#This Row],[Deduction]]</f>
        <v>10000</v>
      </c>
      <c r="BG18" s="21"/>
      <c r="BH18" s="43"/>
    </row>
    <row r="19" spans="1:60" x14ac:dyDescent="0.25">
      <c r="A19"/>
      <c r="B19"/>
      <c r="E19" s="39"/>
      <c r="F19" s="24">
        <v>12</v>
      </c>
      <c r="G19" s="14" t="s">
        <v>31</v>
      </c>
      <c r="H19" s="10" t="s">
        <v>14</v>
      </c>
      <c r="I19" s="15">
        <f t="shared" si="9"/>
        <v>4</v>
      </c>
      <c r="J19" s="14" t="s">
        <v>57</v>
      </c>
      <c r="K19" s="14" t="s">
        <v>57</v>
      </c>
      <c r="L19" s="14" t="s">
        <v>57</v>
      </c>
      <c r="M19" s="14" t="s">
        <v>57</v>
      </c>
      <c r="N19" s="14" t="s">
        <v>57</v>
      </c>
      <c r="O19" s="14" t="str">
        <f t="shared" si="11"/>
        <v>WO</v>
      </c>
      <c r="P19" s="14" t="s">
        <v>57</v>
      </c>
      <c r="Q19" s="14" t="s">
        <v>57</v>
      </c>
      <c r="R19" s="14" t="s">
        <v>57</v>
      </c>
      <c r="S19" s="14" t="s">
        <v>57</v>
      </c>
      <c r="T19" s="14" t="s">
        <v>57</v>
      </c>
      <c r="U19" s="14" t="s">
        <v>57</v>
      </c>
      <c r="V19" s="14" t="str">
        <f t="shared" si="11"/>
        <v>WO</v>
      </c>
      <c r="W19" s="14" t="s">
        <v>57</v>
      </c>
      <c r="X19" s="14" t="s">
        <v>58</v>
      </c>
      <c r="Y19" s="14" t="s">
        <v>57</v>
      </c>
      <c r="Z19" s="14" t="s">
        <v>59</v>
      </c>
      <c r="AA19" s="14" t="s">
        <v>57</v>
      </c>
      <c r="AB19" s="14" t="s">
        <v>57</v>
      </c>
      <c r="AC19" s="14" t="str">
        <f t="shared" si="10"/>
        <v>WO</v>
      </c>
      <c r="AD19" s="14" t="s">
        <v>57</v>
      </c>
      <c r="AE19" s="14" t="s">
        <v>57</v>
      </c>
      <c r="AF19" s="14" t="s">
        <v>57</v>
      </c>
      <c r="AG19" s="14" t="s">
        <v>58</v>
      </c>
      <c r="AH19" s="14" t="s">
        <v>57</v>
      </c>
      <c r="AI19" s="14" t="s">
        <v>57</v>
      </c>
      <c r="AJ19" s="14" t="str">
        <f t="shared" si="10"/>
        <v>WO</v>
      </c>
      <c r="AK19" s="14" t="s">
        <v>57</v>
      </c>
      <c r="AL19" s="14" t="s">
        <v>57</v>
      </c>
      <c r="AM19" s="14" t="s">
        <v>57</v>
      </c>
      <c r="AN19" s="32" t="s">
        <v>57</v>
      </c>
      <c r="AO19" s="39"/>
      <c r="AR19" s="43"/>
      <c r="AS19" s="22">
        <v>12</v>
      </c>
      <c r="AT19" s="14" t="s">
        <v>31</v>
      </c>
      <c r="AU19" s="14" t="str">
        <f t="shared" si="3"/>
        <v>September</v>
      </c>
      <c r="AV19" s="10" t="s">
        <v>14</v>
      </c>
      <c r="AW19" s="22">
        <f t="shared" si="4"/>
        <v>24</v>
      </c>
      <c r="AX19" s="22">
        <f t="shared" si="5"/>
        <v>1</v>
      </c>
      <c r="AY19" s="22">
        <f t="shared" si="6"/>
        <v>2</v>
      </c>
      <c r="AZ19" s="22">
        <f t="shared" si="7"/>
        <v>4</v>
      </c>
      <c r="BA19" s="22">
        <f t="shared" si="8"/>
        <v>30</v>
      </c>
      <c r="BB19" s="22">
        <f>JanMonthlyReport11[[#This Row],[Days]]-JanMonthlyReport11[[#This Row],[Absent]]</f>
        <v>29</v>
      </c>
      <c r="BC19" s="23">
        <v>9000</v>
      </c>
      <c r="BD19" s="23">
        <f>JanMonthlyReport11[[#This Row],[Basic Salary]]/JanMonthlyReport11[[#This Row],[Days]]</f>
        <v>300</v>
      </c>
      <c r="BE19" s="23">
        <f>JanMonthlyReport11[[#This Row],[Per Day Salary]]*JanMonthlyReport11[[#This Row],[Absent]]</f>
        <v>300</v>
      </c>
      <c r="BF19" s="26">
        <f>JanMonthlyReport11[[#This Row],[Basic Salary]]-JanMonthlyReport11[[#This Row],[Deduction]]</f>
        <v>8700</v>
      </c>
      <c r="BG19" s="21"/>
      <c r="BH19" s="43"/>
    </row>
    <row r="20" spans="1:60" x14ac:dyDescent="0.25">
      <c r="A20"/>
      <c r="B20"/>
      <c r="E20" s="39"/>
      <c r="F20" s="24">
        <v>13</v>
      </c>
      <c r="G20" s="14" t="s">
        <v>32</v>
      </c>
      <c r="H20" s="10" t="s">
        <v>15</v>
      </c>
      <c r="I20" s="15">
        <f t="shared" si="9"/>
        <v>4</v>
      </c>
      <c r="J20" s="14" t="s">
        <v>57</v>
      </c>
      <c r="K20" s="14" t="s">
        <v>57</v>
      </c>
      <c r="L20" s="14" t="s">
        <v>57</v>
      </c>
      <c r="M20" s="14" t="s">
        <v>57</v>
      </c>
      <c r="N20" s="14" t="s">
        <v>57</v>
      </c>
      <c r="O20" s="14" t="str">
        <f t="shared" si="11"/>
        <v>WO</v>
      </c>
      <c r="P20" s="14" t="s">
        <v>57</v>
      </c>
      <c r="Q20" s="14" t="s">
        <v>57</v>
      </c>
      <c r="R20" s="14" t="s">
        <v>57</v>
      </c>
      <c r="S20" s="14" t="s">
        <v>57</v>
      </c>
      <c r="T20" s="14" t="s">
        <v>57</v>
      </c>
      <c r="U20" s="14" t="s">
        <v>57</v>
      </c>
      <c r="V20" s="14" t="str">
        <f t="shared" si="11"/>
        <v>WO</v>
      </c>
      <c r="W20" s="14" t="s">
        <v>57</v>
      </c>
      <c r="X20" s="14" t="s">
        <v>58</v>
      </c>
      <c r="Y20" s="14" t="s">
        <v>57</v>
      </c>
      <c r="Z20" s="14" t="s">
        <v>57</v>
      </c>
      <c r="AA20" s="14" t="s">
        <v>57</v>
      </c>
      <c r="AB20" s="14" t="s">
        <v>57</v>
      </c>
      <c r="AC20" s="14" t="str">
        <f t="shared" si="10"/>
        <v>WO</v>
      </c>
      <c r="AD20" s="14" t="s">
        <v>57</v>
      </c>
      <c r="AE20" s="14" t="s">
        <v>57</v>
      </c>
      <c r="AF20" s="14" t="s">
        <v>57</v>
      </c>
      <c r="AG20" s="14" t="s">
        <v>58</v>
      </c>
      <c r="AH20" s="14" t="s">
        <v>57</v>
      </c>
      <c r="AI20" s="14" t="s">
        <v>57</v>
      </c>
      <c r="AJ20" s="14" t="str">
        <f t="shared" si="10"/>
        <v>WO</v>
      </c>
      <c r="AK20" s="14" t="s">
        <v>57</v>
      </c>
      <c r="AL20" s="14" t="s">
        <v>57</v>
      </c>
      <c r="AM20" s="14" t="s">
        <v>57</v>
      </c>
      <c r="AN20" s="32" t="s">
        <v>57</v>
      </c>
      <c r="AO20" s="39"/>
      <c r="AR20" s="43"/>
      <c r="AS20" s="22">
        <v>13</v>
      </c>
      <c r="AT20" s="14" t="s">
        <v>32</v>
      </c>
      <c r="AU20" s="14" t="str">
        <f t="shared" si="3"/>
        <v>September</v>
      </c>
      <c r="AV20" s="10" t="s">
        <v>15</v>
      </c>
      <c r="AW20" s="22">
        <f t="shared" si="4"/>
        <v>25</v>
      </c>
      <c r="AX20" s="22">
        <f t="shared" si="5"/>
        <v>0</v>
      </c>
      <c r="AY20" s="22">
        <f t="shared" si="6"/>
        <v>2</v>
      </c>
      <c r="AZ20" s="22">
        <f t="shared" si="7"/>
        <v>4</v>
      </c>
      <c r="BA20" s="22">
        <f t="shared" si="8"/>
        <v>30</v>
      </c>
      <c r="BB20" s="22">
        <f>JanMonthlyReport11[[#This Row],[Days]]-JanMonthlyReport11[[#This Row],[Absent]]</f>
        <v>30</v>
      </c>
      <c r="BC20" s="23">
        <v>10000</v>
      </c>
      <c r="BD20" s="23">
        <f>JanMonthlyReport11[[#This Row],[Basic Salary]]/JanMonthlyReport11[[#This Row],[Days]]</f>
        <v>333.33333333333331</v>
      </c>
      <c r="BE20" s="23">
        <f>JanMonthlyReport11[[#This Row],[Per Day Salary]]*JanMonthlyReport11[[#This Row],[Absent]]</f>
        <v>0</v>
      </c>
      <c r="BF20" s="26">
        <f>JanMonthlyReport11[[#This Row],[Basic Salary]]-JanMonthlyReport11[[#This Row],[Deduction]]</f>
        <v>10000</v>
      </c>
      <c r="BG20" s="21"/>
      <c r="BH20" s="43"/>
    </row>
    <row r="21" spans="1:60" x14ac:dyDescent="0.25">
      <c r="A21"/>
      <c r="B21"/>
      <c r="E21" s="39"/>
      <c r="F21" s="24">
        <v>14</v>
      </c>
      <c r="G21" s="14" t="s">
        <v>33</v>
      </c>
      <c r="H21" s="10" t="s">
        <v>16</v>
      </c>
      <c r="I21" s="15">
        <f t="shared" si="9"/>
        <v>4</v>
      </c>
      <c r="J21" s="14" t="s">
        <v>57</v>
      </c>
      <c r="K21" s="14" t="s">
        <v>57</v>
      </c>
      <c r="L21" s="14" t="s">
        <v>57</v>
      </c>
      <c r="M21" s="14" t="s">
        <v>57</v>
      </c>
      <c r="N21" s="14" t="s">
        <v>57</v>
      </c>
      <c r="O21" s="14" t="str">
        <f t="shared" si="11"/>
        <v>WO</v>
      </c>
      <c r="P21" s="14" t="s">
        <v>57</v>
      </c>
      <c r="Q21" s="14" t="s">
        <v>57</v>
      </c>
      <c r="R21" s="14" t="s">
        <v>57</v>
      </c>
      <c r="S21" s="14" t="s">
        <v>57</v>
      </c>
      <c r="T21" s="14" t="s">
        <v>57</v>
      </c>
      <c r="U21" s="14" t="s">
        <v>57</v>
      </c>
      <c r="V21" s="14" t="str">
        <f t="shared" si="11"/>
        <v>WO</v>
      </c>
      <c r="W21" s="14" t="s">
        <v>57</v>
      </c>
      <c r="X21" s="14" t="s">
        <v>58</v>
      </c>
      <c r="Y21" s="14" t="s">
        <v>57</v>
      </c>
      <c r="Z21" s="14" t="s">
        <v>57</v>
      </c>
      <c r="AA21" s="14" t="s">
        <v>57</v>
      </c>
      <c r="AB21" s="14" t="s">
        <v>57</v>
      </c>
      <c r="AC21" s="14" t="str">
        <f t="shared" si="10"/>
        <v>WO</v>
      </c>
      <c r="AD21" s="14" t="s">
        <v>57</v>
      </c>
      <c r="AE21" s="14" t="s">
        <v>57</v>
      </c>
      <c r="AF21" s="14" t="s">
        <v>57</v>
      </c>
      <c r="AG21" s="14" t="s">
        <v>58</v>
      </c>
      <c r="AH21" s="14" t="s">
        <v>57</v>
      </c>
      <c r="AI21" s="14" t="s">
        <v>57</v>
      </c>
      <c r="AJ21" s="14" t="str">
        <f t="shared" si="10"/>
        <v>WO</v>
      </c>
      <c r="AK21" s="14" t="s">
        <v>57</v>
      </c>
      <c r="AL21" s="14" t="s">
        <v>57</v>
      </c>
      <c r="AM21" s="14" t="s">
        <v>57</v>
      </c>
      <c r="AN21" s="32" t="s">
        <v>57</v>
      </c>
      <c r="AO21" s="39"/>
      <c r="AR21" s="43"/>
      <c r="AS21" s="22">
        <v>14</v>
      </c>
      <c r="AT21" s="14" t="s">
        <v>33</v>
      </c>
      <c r="AU21" s="14" t="str">
        <f t="shared" si="3"/>
        <v>September</v>
      </c>
      <c r="AV21" s="10" t="s">
        <v>16</v>
      </c>
      <c r="AW21" s="22">
        <f t="shared" si="4"/>
        <v>25</v>
      </c>
      <c r="AX21" s="22">
        <f t="shared" si="5"/>
        <v>0</v>
      </c>
      <c r="AY21" s="22">
        <f t="shared" si="6"/>
        <v>2</v>
      </c>
      <c r="AZ21" s="22">
        <f t="shared" si="7"/>
        <v>4</v>
      </c>
      <c r="BA21" s="22">
        <f t="shared" si="8"/>
        <v>30</v>
      </c>
      <c r="BB21" s="22">
        <f>JanMonthlyReport11[[#This Row],[Days]]-JanMonthlyReport11[[#This Row],[Absent]]</f>
        <v>30</v>
      </c>
      <c r="BC21" s="23">
        <v>10000</v>
      </c>
      <c r="BD21" s="23">
        <f>JanMonthlyReport11[[#This Row],[Basic Salary]]/JanMonthlyReport11[[#This Row],[Days]]</f>
        <v>333.33333333333331</v>
      </c>
      <c r="BE21" s="23">
        <f>JanMonthlyReport11[[#This Row],[Per Day Salary]]*JanMonthlyReport11[[#This Row],[Absent]]</f>
        <v>0</v>
      </c>
      <c r="BF21" s="26">
        <f>JanMonthlyReport11[[#This Row],[Basic Salary]]-JanMonthlyReport11[[#This Row],[Deduction]]</f>
        <v>10000</v>
      </c>
      <c r="BG21" s="21"/>
      <c r="BH21" s="43"/>
    </row>
    <row r="22" spans="1:60" x14ac:dyDescent="0.25">
      <c r="A22"/>
      <c r="B22"/>
      <c r="E22" s="39"/>
      <c r="F22" s="24">
        <v>15</v>
      </c>
      <c r="G22" s="14" t="s">
        <v>34</v>
      </c>
      <c r="H22" s="10" t="s">
        <v>17</v>
      </c>
      <c r="I22" s="15">
        <f t="shared" si="9"/>
        <v>4</v>
      </c>
      <c r="J22" s="14" t="s">
        <v>57</v>
      </c>
      <c r="K22" s="14" t="s">
        <v>57</v>
      </c>
      <c r="L22" s="14" t="s">
        <v>57</v>
      </c>
      <c r="M22" s="14" t="s">
        <v>57</v>
      </c>
      <c r="N22" s="14" t="s">
        <v>57</v>
      </c>
      <c r="O22" s="14" t="str">
        <f t="shared" si="11"/>
        <v>WO</v>
      </c>
      <c r="P22" s="14" t="s">
        <v>57</v>
      </c>
      <c r="Q22" s="14" t="s">
        <v>57</v>
      </c>
      <c r="R22" s="14" t="s">
        <v>57</v>
      </c>
      <c r="S22" s="14" t="s">
        <v>57</v>
      </c>
      <c r="T22" s="14" t="s">
        <v>57</v>
      </c>
      <c r="U22" s="14" t="s">
        <v>57</v>
      </c>
      <c r="V22" s="14" t="str">
        <f t="shared" si="11"/>
        <v>WO</v>
      </c>
      <c r="W22" s="14" t="s">
        <v>57</v>
      </c>
      <c r="X22" s="14" t="s">
        <v>58</v>
      </c>
      <c r="Y22" s="14" t="s">
        <v>57</v>
      </c>
      <c r="Z22" s="14" t="s">
        <v>57</v>
      </c>
      <c r="AA22" s="14" t="s">
        <v>57</v>
      </c>
      <c r="AB22" s="14" t="s">
        <v>57</v>
      </c>
      <c r="AC22" s="14" t="str">
        <f t="shared" si="10"/>
        <v>WO</v>
      </c>
      <c r="AD22" s="14" t="s">
        <v>57</v>
      </c>
      <c r="AE22" s="14" t="s">
        <v>57</v>
      </c>
      <c r="AF22" s="14" t="s">
        <v>57</v>
      </c>
      <c r="AG22" s="14" t="s">
        <v>58</v>
      </c>
      <c r="AH22" s="14" t="s">
        <v>57</v>
      </c>
      <c r="AI22" s="14" t="s">
        <v>57</v>
      </c>
      <c r="AJ22" s="14" t="str">
        <f t="shared" si="10"/>
        <v>WO</v>
      </c>
      <c r="AK22" s="14" t="s">
        <v>57</v>
      </c>
      <c r="AL22" s="14" t="s">
        <v>57</v>
      </c>
      <c r="AM22" s="14" t="s">
        <v>57</v>
      </c>
      <c r="AN22" s="32" t="s">
        <v>57</v>
      </c>
      <c r="AO22" s="39"/>
      <c r="AR22" s="43"/>
      <c r="AS22" s="22">
        <v>15</v>
      </c>
      <c r="AT22" s="14" t="s">
        <v>34</v>
      </c>
      <c r="AU22" s="14" t="str">
        <f t="shared" si="3"/>
        <v>September</v>
      </c>
      <c r="AV22" s="10" t="s">
        <v>17</v>
      </c>
      <c r="AW22" s="22">
        <f t="shared" si="4"/>
        <v>25</v>
      </c>
      <c r="AX22" s="22">
        <f t="shared" si="5"/>
        <v>0</v>
      </c>
      <c r="AY22" s="22">
        <f t="shared" si="6"/>
        <v>2</v>
      </c>
      <c r="AZ22" s="22">
        <f t="shared" si="7"/>
        <v>4</v>
      </c>
      <c r="BA22" s="22">
        <f t="shared" si="8"/>
        <v>30</v>
      </c>
      <c r="BB22" s="22">
        <f>JanMonthlyReport11[[#This Row],[Days]]-JanMonthlyReport11[[#This Row],[Absent]]</f>
        <v>30</v>
      </c>
      <c r="BC22" s="23">
        <v>10000</v>
      </c>
      <c r="BD22" s="23">
        <f>JanMonthlyReport11[[#This Row],[Basic Salary]]/JanMonthlyReport11[[#This Row],[Days]]</f>
        <v>333.33333333333331</v>
      </c>
      <c r="BE22" s="23">
        <f>JanMonthlyReport11[[#This Row],[Per Day Salary]]*JanMonthlyReport11[[#This Row],[Absent]]</f>
        <v>0</v>
      </c>
      <c r="BF22" s="26">
        <f>JanMonthlyReport11[[#This Row],[Basic Salary]]-JanMonthlyReport11[[#This Row],[Deduction]]</f>
        <v>10000</v>
      </c>
      <c r="BG22" s="21"/>
      <c r="BH22" s="43"/>
    </row>
    <row r="23" spans="1:60" x14ac:dyDescent="0.25">
      <c r="A23"/>
      <c r="B23"/>
      <c r="E23" s="39"/>
      <c r="F23" s="24">
        <v>16</v>
      </c>
      <c r="G23" s="14" t="s">
        <v>35</v>
      </c>
      <c r="H23" s="10" t="s">
        <v>18</v>
      </c>
      <c r="I23" s="15">
        <f t="shared" si="9"/>
        <v>4</v>
      </c>
      <c r="J23" s="14" t="s">
        <v>57</v>
      </c>
      <c r="K23" s="14" t="s">
        <v>57</v>
      </c>
      <c r="L23" s="14" t="s">
        <v>57</v>
      </c>
      <c r="M23" s="14" t="s">
        <v>57</v>
      </c>
      <c r="N23" s="14" t="s">
        <v>57</v>
      </c>
      <c r="O23" s="14" t="str">
        <f t="shared" si="11"/>
        <v>WO</v>
      </c>
      <c r="P23" s="14" t="s">
        <v>57</v>
      </c>
      <c r="Q23" s="14" t="s">
        <v>57</v>
      </c>
      <c r="R23" s="14" t="s">
        <v>57</v>
      </c>
      <c r="S23" s="14" t="s">
        <v>57</v>
      </c>
      <c r="T23" s="14" t="s">
        <v>57</v>
      </c>
      <c r="U23" s="14" t="s">
        <v>57</v>
      </c>
      <c r="V23" s="14" t="str">
        <f t="shared" si="11"/>
        <v>WO</v>
      </c>
      <c r="W23" s="14" t="s">
        <v>57</v>
      </c>
      <c r="X23" s="14" t="s">
        <v>58</v>
      </c>
      <c r="Y23" s="14" t="s">
        <v>57</v>
      </c>
      <c r="Z23" s="14" t="s">
        <v>57</v>
      </c>
      <c r="AA23" s="14" t="s">
        <v>57</v>
      </c>
      <c r="AB23" s="14" t="s">
        <v>57</v>
      </c>
      <c r="AC23" s="14" t="str">
        <f t="shared" si="10"/>
        <v>WO</v>
      </c>
      <c r="AD23" s="14" t="s">
        <v>57</v>
      </c>
      <c r="AE23" s="14" t="s">
        <v>57</v>
      </c>
      <c r="AF23" s="14" t="s">
        <v>57</v>
      </c>
      <c r="AG23" s="14" t="s">
        <v>58</v>
      </c>
      <c r="AH23" s="14" t="s">
        <v>57</v>
      </c>
      <c r="AI23" s="14" t="s">
        <v>57</v>
      </c>
      <c r="AJ23" s="14" t="str">
        <f t="shared" si="10"/>
        <v>WO</v>
      </c>
      <c r="AK23" s="14" t="s">
        <v>57</v>
      </c>
      <c r="AL23" s="14" t="s">
        <v>57</v>
      </c>
      <c r="AM23" s="14" t="s">
        <v>57</v>
      </c>
      <c r="AN23" s="32" t="s">
        <v>57</v>
      </c>
      <c r="AO23" s="39"/>
      <c r="AR23" s="43"/>
      <c r="AS23" s="22">
        <v>16</v>
      </c>
      <c r="AT23" s="14" t="s">
        <v>35</v>
      </c>
      <c r="AU23" s="14" t="str">
        <f t="shared" si="3"/>
        <v>September</v>
      </c>
      <c r="AV23" s="10" t="s">
        <v>18</v>
      </c>
      <c r="AW23" s="22">
        <f t="shared" si="4"/>
        <v>25</v>
      </c>
      <c r="AX23" s="22">
        <f t="shared" si="5"/>
        <v>0</v>
      </c>
      <c r="AY23" s="22">
        <f t="shared" si="6"/>
        <v>2</v>
      </c>
      <c r="AZ23" s="22">
        <f t="shared" si="7"/>
        <v>4</v>
      </c>
      <c r="BA23" s="22">
        <f t="shared" si="8"/>
        <v>30</v>
      </c>
      <c r="BB23" s="22">
        <f>JanMonthlyReport11[[#This Row],[Days]]-JanMonthlyReport11[[#This Row],[Absent]]</f>
        <v>30</v>
      </c>
      <c r="BC23" s="23">
        <v>10000</v>
      </c>
      <c r="BD23" s="23">
        <f>JanMonthlyReport11[[#This Row],[Basic Salary]]/JanMonthlyReport11[[#This Row],[Days]]</f>
        <v>333.33333333333331</v>
      </c>
      <c r="BE23" s="23">
        <f>JanMonthlyReport11[[#This Row],[Per Day Salary]]*JanMonthlyReport11[[#This Row],[Absent]]</f>
        <v>0</v>
      </c>
      <c r="BF23" s="26">
        <f>JanMonthlyReport11[[#This Row],[Basic Salary]]-JanMonthlyReport11[[#This Row],[Deduction]]</f>
        <v>10000</v>
      </c>
      <c r="BG23" s="21"/>
      <c r="BH23" s="43"/>
    </row>
    <row r="24" spans="1:60" ht="15.75" thickBot="1" x14ac:dyDescent="0.3">
      <c r="A24"/>
      <c r="B24"/>
      <c r="E24" s="39"/>
      <c r="F24" s="25">
        <v>17</v>
      </c>
      <c r="G24" s="33" t="s">
        <v>36</v>
      </c>
      <c r="H24" s="34" t="s">
        <v>19</v>
      </c>
      <c r="I24" s="35">
        <f t="shared" si="9"/>
        <v>4</v>
      </c>
      <c r="J24" s="33" t="s">
        <v>57</v>
      </c>
      <c r="K24" s="33" t="s">
        <v>57</v>
      </c>
      <c r="L24" s="33" t="s">
        <v>57</v>
      </c>
      <c r="M24" s="33" t="s">
        <v>57</v>
      </c>
      <c r="N24" s="33" t="s">
        <v>57</v>
      </c>
      <c r="O24" s="33" t="str">
        <f t="shared" si="11"/>
        <v>WO</v>
      </c>
      <c r="P24" s="33" t="s">
        <v>57</v>
      </c>
      <c r="Q24" s="33" t="s">
        <v>57</v>
      </c>
      <c r="R24" s="33" t="s">
        <v>57</v>
      </c>
      <c r="S24" s="33" t="s">
        <v>57</v>
      </c>
      <c r="T24" s="33" t="s">
        <v>57</v>
      </c>
      <c r="U24" s="33" t="s">
        <v>57</v>
      </c>
      <c r="V24" s="33" t="str">
        <f t="shared" si="11"/>
        <v>WO</v>
      </c>
      <c r="W24" s="33" t="s">
        <v>57</v>
      </c>
      <c r="X24" s="33" t="s">
        <v>58</v>
      </c>
      <c r="Y24" s="33" t="s">
        <v>57</v>
      </c>
      <c r="Z24" s="33" t="s">
        <v>57</v>
      </c>
      <c r="AA24" s="33" t="s">
        <v>57</v>
      </c>
      <c r="AB24" s="33" t="s">
        <v>57</v>
      </c>
      <c r="AC24" s="33" t="str">
        <f t="shared" si="10"/>
        <v>WO</v>
      </c>
      <c r="AD24" s="33" t="s">
        <v>57</v>
      </c>
      <c r="AE24" s="33" t="s">
        <v>57</v>
      </c>
      <c r="AF24" s="33" t="s">
        <v>57</v>
      </c>
      <c r="AG24" s="33" t="s">
        <v>58</v>
      </c>
      <c r="AH24" s="33" t="s">
        <v>57</v>
      </c>
      <c r="AI24" s="33" t="s">
        <v>57</v>
      </c>
      <c r="AJ24" s="33" t="str">
        <f t="shared" si="10"/>
        <v>WO</v>
      </c>
      <c r="AK24" s="33" t="s">
        <v>57</v>
      </c>
      <c r="AL24" s="33" t="s">
        <v>57</v>
      </c>
      <c r="AM24" s="33" t="s">
        <v>57</v>
      </c>
      <c r="AN24" s="36" t="s">
        <v>57</v>
      </c>
      <c r="AO24" s="39"/>
      <c r="AR24" s="43"/>
      <c r="AS24" s="22">
        <v>17</v>
      </c>
      <c r="AT24" s="14" t="s">
        <v>36</v>
      </c>
      <c r="AU24" s="14" t="str">
        <f t="shared" si="3"/>
        <v>September</v>
      </c>
      <c r="AV24" s="10" t="s">
        <v>19</v>
      </c>
      <c r="AW24" s="22">
        <f t="shared" si="4"/>
        <v>25</v>
      </c>
      <c r="AX24" s="22">
        <f t="shared" si="5"/>
        <v>0</v>
      </c>
      <c r="AY24" s="22">
        <f t="shared" si="6"/>
        <v>2</v>
      </c>
      <c r="AZ24" s="22">
        <f t="shared" si="7"/>
        <v>4</v>
      </c>
      <c r="BA24" s="22">
        <f t="shared" si="8"/>
        <v>30</v>
      </c>
      <c r="BB24" s="22">
        <f>JanMonthlyReport11[[#This Row],[Days]]-JanMonthlyReport11[[#This Row],[Absent]]</f>
        <v>30</v>
      </c>
      <c r="BC24" s="23">
        <v>9000</v>
      </c>
      <c r="BD24" s="23">
        <f>JanMonthlyReport11[[#This Row],[Basic Salary]]/JanMonthlyReport11[[#This Row],[Days]]</f>
        <v>300</v>
      </c>
      <c r="BE24" s="23">
        <f>JanMonthlyReport11[[#This Row],[Per Day Salary]]*JanMonthlyReport11[[#This Row],[Absent]]</f>
        <v>0</v>
      </c>
      <c r="BF24" s="26">
        <f>JanMonthlyReport11[[#This Row],[Basic Salary]]-JanMonthlyReport11[[#This Row],[Deduction]]</f>
        <v>9000</v>
      </c>
      <c r="BG24" s="21"/>
      <c r="BH24" s="43"/>
    </row>
    <row r="25" spans="1:60" x14ac:dyDescent="0.25">
      <c r="A25"/>
      <c r="B25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</row>
    <row r="26" spans="1:60" x14ac:dyDescent="0.25">
      <c r="A26"/>
      <c r="B26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</row>
    <row r="27" spans="1:60" x14ac:dyDescent="0.25">
      <c r="A27"/>
      <c r="B27"/>
    </row>
    <row r="28" spans="1:60" x14ac:dyDescent="0.25">
      <c r="A28"/>
      <c r="B28"/>
    </row>
    <row r="29" spans="1:60" x14ac:dyDescent="0.25">
      <c r="A29"/>
      <c r="B29"/>
    </row>
    <row r="30" spans="1:60" x14ac:dyDescent="0.25">
      <c r="A30"/>
      <c r="B30"/>
    </row>
    <row r="31" spans="1:60" x14ac:dyDescent="0.25">
      <c r="A31"/>
      <c r="B31"/>
    </row>
    <row r="32" spans="1:60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</sheetData>
  <mergeCells count="1">
    <mergeCell ref="F6:H6"/>
  </mergeCells>
  <conditionalFormatting sqref="AQ7 O8:O24 V8:V24 AC8:AC24 AJ8:AJ24">
    <cfRule type="containsText" dxfId="433" priority="10" operator="containsText" text="WO">
      <formula>NOT(ISERROR(SEARCH("WO",O7)))</formula>
    </cfRule>
  </conditionalFormatting>
  <conditionalFormatting sqref="G4 I8:I24 O8:O24 V8:V24 AC8:AC24 AJ8:AJ24">
    <cfRule type="containsText" dxfId="432" priority="9" operator="containsText" text="WO">
      <formula>NOT(ISERROR(SEARCH("WO",G4)))</formula>
    </cfRule>
  </conditionalFormatting>
  <conditionalFormatting sqref="O8:O24 V8:V24 AC8:AC24 AJ8:AJ24">
    <cfRule type="containsText" dxfId="429" priority="6" operator="containsText" text="L">
      <formula>NOT(ISERROR(SEARCH("L",O8)))</formula>
    </cfRule>
    <cfRule type="containsText" dxfId="430" priority="7" operator="containsText" text="A">
      <formula>NOT(ISERROR(SEARCH("A",O8)))</formula>
    </cfRule>
    <cfRule type="containsText" dxfId="431" priority="8" operator="containsText" text="P">
      <formula>NOT(ISERROR(SEARCH("P",O8)))</formula>
    </cfRule>
  </conditionalFormatting>
  <conditionalFormatting sqref="AK8:AN24 AD8:AI24 W8:AB24 P8:U24 J8:N24">
    <cfRule type="containsText" dxfId="34" priority="5" operator="containsText" text="WO">
      <formula>NOT(ISERROR(SEARCH("WO",J8)))</formula>
    </cfRule>
  </conditionalFormatting>
  <conditionalFormatting sqref="AK8:AN24 AD8:AI24 W8:AB24 P8:U24 J8:N24">
    <cfRule type="containsText" dxfId="33" priority="4" operator="containsText" text="WO">
      <formula>NOT(ISERROR(SEARCH("WO",J8)))</formula>
    </cfRule>
  </conditionalFormatting>
  <conditionalFormatting sqref="AK8:AN24 AD8:AI24 W8:AB24 P8:U24 J8:N24">
    <cfRule type="containsText" dxfId="32" priority="1" operator="containsText" text="L">
      <formula>NOT(ISERROR(SEARCH("L",J8)))</formula>
    </cfRule>
    <cfRule type="containsText" dxfId="31" priority="2" operator="containsText" text="A">
      <formula>NOT(ISERROR(SEARCH("A",J8)))</formula>
    </cfRule>
    <cfRule type="containsText" dxfId="30" priority="3" operator="containsText" text="P">
      <formula>NOT(ISERROR(SEARCH("P",J8)))</formula>
    </cfRule>
  </conditionalFormatting>
  <dataValidations count="1">
    <dataValidation type="list" allowBlank="1" showInputMessage="1" showErrorMessage="1" sqref="J8:N24 P8:U24 W8:AB24 AD8:AI24 AK8:AN24" xr:uid="{B5BB6A0D-611E-49E2-AA79-3006B7CD2462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29FD9E-2319-4BB9-B5DD-7C86F543AA20}">
          <x14:formula1>
            <xm:f>Rough!$A$1:$A$12</xm:f>
          </x14:formula1>
          <xm:sqref>G4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2FD4C82-6A9D-4C57-B72F-3713EA7E63C8}">
          <x14:colorSeries theme="7"/>
          <x14:colorNegative rgb="FFFF0000"/>
          <x14:colorAxis rgb="FF000000"/>
          <x14:colorMarkers rgb="FFD00000"/>
          <x14:colorFirst rgb="FFD00000"/>
          <x14:colorLast rgb="FFD00000"/>
          <x14:colorHigh rgb="FF2BF595"/>
          <x14:colorLow rgb="FFD00000"/>
          <x14:sparklines>
            <x14:sparkline>
              <xm:f>Sep!AW8:AY8</xm:f>
              <xm:sqref>BG8</xm:sqref>
            </x14:sparkline>
            <x14:sparkline>
              <xm:f>Sep!AW9:AY9</xm:f>
              <xm:sqref>BG9</xm:sqref>
            </x14:sparkline>
            <x14:sparkline>
              <xm:f>Sep!AW10:AY10</xm:f>
              <xm:sqref>BG10</xm:sqref>
            </x14:sparkline>
            <x14:sparkline>
              <xm:f>Sep!AW11:AY11</xm:f>
              <xm:sqref>BG11</xm:sqref>
            </x14:sparkline>
            <x14:sparkline>
              <xm:f>Sep!AW12:AY12</xm:f>
              <xm:sqref>BG12</xm:sqref>
            </x14:sparkline>
            <x14:sparkline>
              <xm:f>Sep!AW13:AY13</xm:f>
              <xm:sqref>BG13</xm:sqref>
            </x14:sparkline>
            <x14:sparkline>
              <xm:f>Sep!AW14:AY14</xm:f>
              <xm:sqref>BG14</xm:sqref>
            </x14:sparkline>
            <x14:sparkline>
              <xm:f>Sep!AW15:AY15</xm:f>
              <xm:sqref>BG15</xm:sqref>
            </x14:sparkline>
            <x14:sparkline>
              <xm:f>Sep!AW16:AY16</xm:f>
              <xm:sqref>BG16</xm:sqref>
            </x14:sparkline>
            <x14:sparkline>
              <xm:f>Sep!AW17:AY17</xm:f>
              <xm:sqref>BG17</xm:sqref>
            </x14:sparkline>
            <x14:sparkline>
              <xm:f>Sep!AW18:AY18</xm:f>
              <xm:sqref>BG18</xm:sqref>
            </x14:sparkline>
            <x14:sparkline>
              <xm:f>Sep!AW19:AY19</xm:f>
              <xm:sqref>BG19</xm:sqref>
            </x14:sparkline>
            <x14:sparkline>
              <xm:f>Sep!AW20:AY20</xm:f>
              <xm:sqref>BG20</xm:sqref>
            </x14:sparkline>
            <x14:sparkline>
              <xm:f>Sep!AW21:AY21</xm:f>
              <xm:sqref>BG21</xm:sqref>
            </x14:sparkline>
            <x14:sparkline>
              <xm:f>Sep!AW22:AY22</xm:f>
              <xm:sqref>BG22</xm:sqref>
            </x14:sparkline>
            <x14:sparkline>
              <xm:f>Sep!AW23:AY23</xm:f>
              <xm:sqref>BG23</xm:sqref>
            </x14:sparkline>
            <x14:sparkline>
              <xm:f>Sep!AW24:AY24</xm:f>
              <xm:sqref>BG24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46BB-8069-4E72-A659-7FFF77E468D9}">
  <dimension ref="A1:BH36"/>
  <sheetViews>
    <sheetView topLeftCell="AD1" zoomScale="60" zoomScaleNormal="60" workbookViewId="0">
      <selection activeCell="BG8" sqref="BG8:BG24"/>
    </sheetView>
  </sheetViews>
  <sheetFormatPr defaultRowHeight="15" x14ac:dyDescent="0.25"/>
  <cols>
    <col min="1" max="5" width="9.140625" style="37"/>
    <col min="6" max="6" width="8.28515625" style="37" bestFit="1" customWidth="1"/>
    <col min="7" max="7" width="14.7109375" style="37" bestFit="1" customWidth="1"/>
    <col min="8" max="8" width="24" style="37" bestFit="1" customWidth="1"/>
    <col min="9" max="9" width="9.85546875" style="37" bestFit="1" customWidth="1"/>
    <col min="10" max="10" width="8.42578125" style="37" bestFit="1" customWidth="1"/>
    <col min="11" max="11" width="6.42578125" style="37" customWidth="1"/>
    <col min="12" max="12" width="5.85546875" style="37" bestFit="1" customWidth="1"/>
    <col min="13" max="13" width="6.42578125" style="37" bestFit="1" customWidth="1"/>
    <col min="14" max="14" width="6.5703125" style="37" bestFit="1" customWidth="1"/>
    <col min="15" max="15" width="6.140625" style="37" bestFit="1" customWidth="1"/>
    <col min="16" max="16" width="6.85546875" style="37" bestFit="1" customWidth="1"/>
    <col min="17" max="17" width="6.140625" style="37" bestFit="1" customWidth="1"/>
    <col min="18" max="18" width="4.7109375" style="37" bestFit="1" customWidth="1"/>
    <col min="19" max="19" width="5.85546875" style="37" bestFit="1" customWidth="1"/>
    <col min="20" max="20" width="6.42578125" style="37" bestFit="1" customWidth="1"/>
    <col min="21" max="21" width="6.5703125" style="37" bestFit="1" customWidth="1"/>
    <col min="22" max="22" width="6.140625" style="37" bestFit="1" customWidth="1"/>
    <col min="23" max="23" width="6.85546875" style="37" bestFit="1" customWidth="1"/>
    <col min="24" max="24" width="6.140625" style="37" bestFit="1" customWidth="1"/>
    <col min="25" max="25" width="4.7109375" style="37" bestFit="1" customWidth="1"/>
    <col min="26" max="26" width="5.85546875" style="37" bestFit="1" customWidth="1"/>
    <col min="27" max="27" width="6.42578125" style="37" bestFit="1" customWidth="1"/>
    <col min="28" max="28" width="6.5703125" style="37" bestFit="1" customWidth="1"/>
    <col min="29" max="29" width="6.140625" style="37" bestFit="1" customWidth="1"/>
    <col min="30" max="30" width="6.85546875" style="37" bestFit="1" customWidth="1"/>
    <col min="31" max="31" width="6.140625" style="37" bestFit="1" customWidth="1"/>
    <col min="32" max="32" width="4.7109375" style="37" bestFit="1" customWidth="1"/>
    <col min="33" max="33" width="5.85546875" style="37" bestFit="1" customWidth="1"/>
    <col min="34" max="34" width="6.42578125" style="37" bestFit="1" customWidth="1"/>
    <col min="35" max="35" width="6.5703125" style="37" bestFit="1" customWidth="1"/>
    <col min="36" max="36" width="6.140625" style="37" bestFit="1" customWidth="1"/>
    <col min="37" max="37" width="6.85546875" style="37" bestFit="1" customWidth="1"/>
    <col min="38" max="38" width="6.140625" style="37" bestFit="1" customWidth="1"/>
    <col min="39" max="39" width="4.5703125" style="37" bestFit="1" customWidth="1"/>
    <col min="40" max="40" width="5.7109375" style="37" bestFit="1" customWidth="1"/>
    <col min="41" max="45" width="9.140625" style="37"/>
    <col min="46" max="47" width="15.140625" style="37" customWidth="1"/>
    <col min="48" max="48" width="21.5703125" style="37" bestFit="1" customWidth="1"/>
    <col min="49" max="49" width="9.85546875" style="37" customWidth="1"/>
    <col min="50" max="50" width="9.28515625" style="37" customWidth="1"/>
    <col min="51" max="51" width="8.42578125" style="37" customWidth="1"/>
    <col min="52" max="52" width="11.85546875" style="37" customWidth="1"/>
    <col min="53" max="53" width="7.7109375" style="37" customWidth="1"/>
    <col min="54" max="54" width="12" style="37" customWidth="1"/>
    <col min="55" max="55" width="14" style="37" customWidth="1"/>
    <col min="56" max="56" width="16.28515625" style="37" customWidth="1"/>
    <col min="57" max="57" width="12.5703125" style="37" bestFit="1" customWidth="1"/>
    <col min="58" max="58" width="13.7109375" style="37" customWidth="1"/>
    <col min="59" max="59" width="16.7109375" style="37" customWidth="1"/>
    <col min="60" max="16384" width="9.140625" style="37"/>
  </cols>
  <sheetData>
    <row r="1" spans="1:6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6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60" x14ac:dyDescent="0.25">
      <c r="A3"/>
      <c r="B3"/>
    </row>
    <row r="4" spans="1:60" x14ac:dyDescent="0.25">
      <c r="A4"/>
      <c r="B4"/>
      <c r="E4" s="39"/>
      <c r="F4" s="39" t="s">
        <v>41</v>
      </c>
      <c r="G4" s="40">
        <v>46296</v>
      </c>
      <c r="H4" s="41">
        <f>DATEDIF($G$4,$K$4,"D")+1</f>
        <v>31</v>
      </c>
      <c r="I4" s="39" t="str">
        <f>TEXT(G4,"MMMM")</f>
        <v>October</v>
      </c>
      <c r="J4" s="39" t="s">
        <v>42</v>
      </c>
      <c r="K4" s="40">
        <f>EOMONTH(G4,0)</f>
        <v>46326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60" ht="15.75" thickBot="1" x14ac:dyDescent="0.3">
      <c r="A5"/>
      <c r="B5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</row>
    <row r="6" spans="1:60" x14ac:dyDescent="0.25">
      <c r="A6"/>
      <c r="B6"/>
      <c r="E6" s="39"/>
      <c r="F6" s="46" t="s">
        <v>44</v>
      </c>
      <c r="G6" s="47"/>
      <c r="H6" s="48"/>
      <c r="I6" s="27" t="s">
        <v>43</v>
      </c>
      <c r="J6" s="28" t="str">
        <f>TEXT(J7,"DDD")</f>
        <v>Thu</v>
      </c>
      <c r="K6" s="28" t="str">
        <f t="shared" ref="K6:AN6" si="0">TEXT(K7,"DDD")</f>
        <v>Fri</v>
      </c>
      <c r="L6" s="28" t="str">
        <f t="shared" si="0"/>
        <v>Sat</v>
      </c>
      <c r="M6" s="28" t="str">
        <f t="shared" si="0"/>
        <v>Sun</v>
      </c>
      <c r="N6" s="28" t="str">
        <f t="shared" si="0"/>
        <v>Mon</v>
      </c>
      <c r="O6" s="28" t="str">
        <f t="shared" si="0"/>
        <v>Tue</v>
      </c>
      <c r="P6" s="28" t="str">
        <f t="shared" si="0"/>
        <v>Wed</v>
      </c>
      <c r="Q6" s="28" t="str">
        <f t="shared" si="0"/>
        <v>Thu</v>
      </c>
      <c r="R6" s="28" t="str">
        <f t="shared" si="0"/>
        <v>Fri</v>
      </c>
      <c r="S6" s="28" t="str">
        <f t="shared" si="0"/>
        <v>Sat</v>
      </c>
      <c r="T6" s="28" t="str">
        <f t="shared" si="0"/>
        <v>Sun</v>
      </c>
      <c r="U6" s="28" t="str">
        <f t="shared" si="0"/>
        <v>Mon</v>
      </c>
      <c r="V6" s="28" t="str">
        <f t="shared" si="0"/>
        <v>Tue</v>
      </c>
      <c r="W6" s="28" t="str">
        <f t="shared" si="0"/>
        <v>Wed</v>
      </c>
      <c r="X6" s="28" t="str">
        <f t="shared" si="0"/>
        <v>Thu</v>
      </c>
      <c r="Y6" s="28" t="str">
        <f t="shared" si="0"/>
        <v>Fri</v>
      </c>
      <c r="Z6" s="28" t="str">
        <f t="shared" si="0"/>
        <v>Sat</v>
      </c>
      <c r="AA6" s="28" t="str">
        <f t="shared" si="0"/>
        <v>Sun</v>
      </c>
      <c r="AB6" s="28" t="str">
        <f t="shared" si="0"/>
        <v>Mon</v>
      </c>
      <c r="AC6" s="28" t="str">
        <f t="shared" si="0"/>
        <v>Tue</v>
      </c>
      <c r="AD6" s="28" t="str">
        <f t="shared" si="0"/>
        <v>Wed</v>
      </c>
      <c r="AE6" s="28" t="str">
        <f t="shared" si="0"/>
        <v>Thu</v>
      </c>
      <c r="AF6" s="28" t="str">
        <f t="shared" si="0"/>
        <v>Fri</v>
      </c>
      <c r="AG6" s="28" t="str">
        <f t="shared" si="0"/>
        <v>Sat</v>
      </c>
      <c r="AH6" s="28" t="str">
        <f t="shared" si="0"/>
        <v>Sun</v>
      </c>
      <c r="AI6" s="28" t="str">
        <f t="shared" si="0"/>
        <v>Mon</v>
      </c>
      <c r="AJ6" s="28" t="str">
        <f t="shared" si="0"/>
        <v>Tue</v>
      </c>
      <c r="AK6" s="28" t="str">
        <f t="shared" si="0"/>
        <v>Wed</v>
      </c>
      <c r="AL6" s="28" t="str">
        <f t="shared" si="0"/>
        <v>Thu</v>
      </c>
      <c r="AM6" s="28" t="str">
        <f t="shared" si="0"/>
        <v>Fri</v>
      </c>
      <c r="AN6" s="29" t="str">
        <f t="shared" si="0"/>
        <v>Sat</v>
      </c>
      <c r="AO6" s="42" t="str">
        <f>IF(AN7 &lt; $K$4,AN7+1,"")</f>
        <v/>
      </c>
      <c r="AP6" s="38"/>
      <c r="AQ6" s="38"/>
      <c r="AR6" s="44"/>
      <c r="AS6" s="44"/>
      <c r="AT6" s="44"/>
      <c r="AU6" s="44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</row>
    <row r="7" spans="1:60" ht="15.75" thickBot="1" x14ac:dyDescent="0.3">
      <c r="A7"/>
      <c r="B7"/>
      <c r="E7" s="39"/>
      <c r="F7" s="30" t="s">
        <v>37</v>
      </c>
      <c r="G7" s="12" t="s">
        <v>38</v>
      </c>
      <c r="H7" s="13" t="s">
        <v>39</v>
      </c>
      <c r="I7" s="16" t="s">
        <v>40</v>
      </c>
      <c r="J7" s="17">
        <f>G4</f>
        <v>46296</v>
      </c>
      <c r="K7" s="17">
        <f t="shared" ref="K7:AN7" si="1">IF(J7 &lt; $K$4,J7+1,"")</f>
        <v>46297</v>
      </c>
      <c r="L7" s="17">
        <f t="shared" si="1"/>
        <v>46298</v>
      </c>
      <c r="M7" s="17">
        <f t="shared" si="1"/>
        <v>46299</v>
      </c>
      <c r="N7" s="17">
        <f t="shared" si="1"/>
        <v>46300</v>
      </c>
      <c r="O7" s="17">
        <f t="shared" si="1"/>
        <v>46301</v>
      </c>
      <c r="P7" s="17">
        <f t="shared" si="1"/>
        <v>46302</v>
      </c>
      <c r="Q7" s="17">
        <f t="shared" si="1"/>
        <v>46303</v>
      </c>
      <c r="R7" s="17">
        <f t="shared" si="1"/>
        <v>46304</v>
      </c>
      <c r="S7" s="17">
        <f t="shared" si="1"/>
        <v>46305</v>
      </c>
      <c r="T7" s="17">
        <f t="shared" si="1"/>
        <v>46306</v>
      </c>
      <c r="U7" s="17">
        <f t="shared" si="1"/>
        <v>46307</v>
      </c>
      <c r="V7" s="17">
        <f t="shared" si="1"/>
        <v>46308</v>
      </c>
      <c r="W7" s="17">
        <f t="shared" si="1"/>
        <v>46309</v>
      </c>
      <c r="X7" s="17">
        <f t="shared" si="1"/>
        <v>46310</v>
      </c>
      <c r="Y7" s="17">
        <f t="shared" si="1"/>
        <v>46311</v>
      </c>
      <c r="Z7" s="17">
        <f t="shared" si="1"/>
        <v>46312</v>
      </c>
      <c r="AA7" s="17">
        <f t="shared" si="1"/>
        <v>46313</v>
      </c>
      <c r="AB7" s="17">
        <f t="shared" si="1"/>
        <v>46314</v>
      </c>
      <c r="AC7" s="17">
        <f t="shared" si="1"/>
        <v>46315</v>
      </c>
      <c r="AD7" s="17">
        <f t="shared" si="1"/>
        <v>46316</v>
      </c>
      <c r="AE7" s="17">
        <f t="shared" si="1"/>
        <v>46317</v>
      </c>
      <c r="AF7" s="17">
        <f t="shared" si="1"/>
        <v>46318</v>
      </c>
      <c r="AG7" s="17">
        <f t="shared" si="1"/>
        <v>46319</v>
      </c>
      <c r="AH7" s="17">
        <f t="shared" si="1"/>
        <v>46320</v>
      </c>
      <c r="AI7" s="17">
        <f t="shared" si="1"/>
        <v>46321</v>
      </c>
      <c r="AJ7" s="17">
        <f t="shared" si="1"/>
        <v>46322</v>
      </c>
      <c r="AK7" s="17">
        <f t="shared" si="1"/>
        <v>46323</v>
      </c>
      <c r="AL7" s="17">
        <f t="shared" si="1"/>
        <v>46324</v>
      </c>
      <c r="AM7" s="17">
        <f t="shared" si="1"/>
        <v>46325</v>
      </c>
      <c r="AN7" s="31">
        <f t="shared" si="1"/>
        <v>46326</v>
      </c>
      <c r="AO7" s="39"/>
      <c r="AR7" s="43"/>
      <c r="AS7" s="18" t="s">
        <v>37</v>
      </c>
      <c r="AT7" s="18" t="s">
        <v>38</v>
      </c>
      <c r="AU7" s="18" t="s">
        <v>56</v>
      </c>
      <c r="AV7" s="19" t="s">
        <v>39</v>
      </c>
      <c r="AW7" s="18" t="s">
        <v>45</v>
      </c>
      <c r="AX7" s="18" t="s">
        <v>46</v>
      </c>
      <c r="AY7" s="18" t="s">
        <v>47</v>
      </c>
      <c r="AZ7" s="18" t="s">
        <v>48</v>
      </c>
      <c r="BA7" s="18" t="s">
        <v>49</v>
      </c>
      <c r="BB7" s="18" t="s">
        <v>50</v>
      </c>
      <c r="BC7" s="18" t="s">
        <v>51</v>
      </c>
      <c r="BD7" s="18" t="s">
        <v>52</v>
      </c>
      <c r="BE7" s="18" t="s">
        <v>53</v>
      </c>
      <c r="BF7" s="20" t="s">
        <v>54</v>
      </c>
      <c r="BG7" s="18" t="s">
        <v>55</v>
      </c>
      <c r="BH7" s="43"/>
    </row>
    <row r="8" spans="1:60" x14ac:dyDescent="0.25">
      <c r="A8"/>
      <c r="B8"/>
      <c r="E8" s="39"/>
      <c r="F8" s="24">
        <v>1</v>
      </c>
      <c r="G8" s="14" t="s">
        <v>20</v>
      </c>
      <c r="H8" s="10" t="s">
        <v>3</v>
      </c>
      <c r="I8" s="15">
        <f>COUNTIF($J$6:$AN$6,"sun")</f>
        <v>4</v>
      </c>
      <c r="J8" s="14" t="s">
        <v>57</v>
      </c>
      <c r="K8" s="14" t="s">
        <v>57</v>
      </c>
      <c r="L8" s="14" t="s">
        <v>57</v>
      </c>
      <c r="M8" s="14" t="str">
        <f t="shared" ref="K8:AN16" si="2">IF(M$6 = "sun","WO","")</f>
        <v>WO</v>
      </c>
      <c r="N8" s="14" t="s">
        <v>58</v>
      </c>
      <c r="O8" s="14" t="s">
        <v>57</v>
      </c>
      <c r="P8" s="14" t="s">
        <v>57</v>
      </c>
      <c r="Q8" s="14" t="s">
        <v>57</v>
      </c>
      <c r="R8" s="14" t="s">
        <v>57</v>
      </c>
      <c r="S8" s="14" t="s">
        <v>57</v>
      </c>
      <c r="T8" s="14" t="str">
        <f t="shared" si="2"/>
        <v>WO</v>
      </c>
      <c r="U8" s="14" t="s">
        <v>57</v>
      </c>
      <c r="V8" s="14" t="s">
        <v>57</v>
      </c>
      <c r="W8" s="14" t="s">
        <v>57</v>
      </c>
      <c r="X8" s="14" t="s">
        <v>57</v>
      </c>
      <c r="Y8" s="14" t="s">
        <v>57</v>
      </c>
      <c r="Z8" s="14" t="s">
        <v>57</v>
      </c>
      <c r="AA8" s="14" t="str">
        <f t="shared" si="2"/>
        <v>WO</v>
      </c>
      <c r="AB8" s="14" t="s">
        <v>57</v>
      </c>
      <c r="AC8" s="14" t="s">
        <v>57</v>
      </c>
      <c r="AD8" s="14" t="s">
        <v>57</v>
      </c>
      <c r="AE8" s="14" t="s">
        <v>57</v>
      </c>
      <c r="AF8" s="14" t="s">
        <v>57</v>
      </c>
      <c r="AG8" s="14" t="s">
        <v>57</v>
      </c>
      <c r="AH8" s="14" t="str">
        <f t="shared" si="2"/>
        <v>WO</v>
      </c>
      <c r="AI8" s="14" t="s">
        <v>57</v>
      </c>
      <c r="AJ8" s="14" t="s">
        <v>57</v>
      </c>
      <c r="AK8" s="14" t="s">
        <v>57</v>
      </c>
      <c r="AL8" s="14" t="s">
        <v>57</v>
      </c>
      <c r="AM8" s="14" t="s">
        <v>57</v>
      </c>
      <c r="AN8" s="32" t="s">
        <v>57</v>
      </c>
      <c r="AO8" s="39"/>
      <c r="AR8" s="43"/>
      <c r="AS8" s="22">
        <v>1</v>
      </c>
      <c r="AT8" s="14" t="s">
        <v>20</v>
      </c>
      <c r="AU8" s="14" t="str">
        <f t="shared" ref="AU8:AU24" si="3">$I$4</f>
        <v>October</v>
      </c>
      <c r="AV8" s="10" t="s">
        <v>3</v>
      </c>
      <c r="AW8" s="22">
        <f t="shared" ref="AW8:AW24" si="4">COUNTIF($J8:$AN8,"P")</f>
        <v>26</v>
      </c>
      <c r="AX8" s="22">
        <f t="shared" ref="AX8:AX24" si="5">COUNTIF($J8:$AN8,"A")</f>
        <v>0</v>
      </c>
      <c r="AY8" s="22">
        <f t="shared" ref="AY8:AY24" si="6">COUNTIF($J8:$AN8,"L")</f>
        <v>1</v>
      </c>
      <c r="AZ8" s="22">
        <f t="shared" ref="AZ8:AZ24" si="7">$I$8</f>
        <v>4</v>
      </c>
      <c r="BA8" s="22">
        <f t="shared" ref="BA8:BA24" si="8">$H$4</f>
        <v>31</v>
      </c>
      <c r="BB8" s="22">
        <f>JanMonthlyReport12[[#This Row],[Days]]-JanMonthlyReport12[[#This Row],[Absent]]</f>
        <v>31</v>
      </c>
      <c r="BC8" s="23">
        <v>100000</v>
      </c>
      <c r="BD8" s="23">
        <f>JanMonthlyReport12[[#This Row],[Basic Salary]]/JanMonthlyReport12[[#This Row],[Days]]</f>
        <v>3225.8064516129034</v>
      </c>
      <c r="BE8" s="23">
        <f>JanMonthlyReport12[[#This Row],[Per Day Salary]]*JanMonthlyReport12[[#This Row],[Absent]]</f>
        <v>0</v>
      </c>
      <c r="BF8" s="26">
        <f>JanMonthlyReport12[[#This Row],[Basic Salary]]-JanMonthlyReport12[[#This Row],[Deduction]]</f>
        <v>100000</v>
      </c>
      <c r="BG8" s="21"/>
      <c r="BH8" s="43"/>
    </row>
    <row r="9" spans="1:60" x14ac:dyDescent="0.25">
      <c r="A9"/>
      <c r="B9"/>
      <c r="E9" s="39"/>
      <c r="F9" s="24">
        <v>2</v>
      </c>
      <c r="G9" s="14" t="s">
        <v>21</v>
      </c>
      <c r="H9" s="10" t="s">
        <v>4</v>
      </c>
      <c r="I9" s="15">
        <f t="shared" ref="I9:I24" si="9">COUNTIF($J$6:$AN$6,"sun")</f>
        <v>4</v>
      </c>
      <c r="J9" s="14" t="s">
        <v>57</v>
      </c>
      <c r="K9" s="14" t="s">
        <v>57</v>
      </c>
      <c r="L9" s="14" t="s">
        <v>57</v>
      </c>
      <c r="M9" s="14" t="str">
        <f t="shared" si="2"/>
        <v>WO</v>
      </c>
      <c r="N9" s="14" t="s">
        <v>58</v>
      </c>
      <c r="O9" s="14" t="s">
        <v>57</v>
      </c>
      <c r="P9" s="14" t="s">
        <v>57</v>
      </c>
      <c r="Q9" s="14" t="s">
        <v>57</v>
      </c>
      <c r="R9" s="14" t="s">
        <v>57</v>
      </c>
      <c r="S9" s="14" t="s">
        <v>57</v>
      </c>
      <c r="T9" s="14" t="str">
        <f t="shared" si="2"/>
        <v>WO</v>
      </c>
      <c r="U9" s="14" t="s">
        <v>57</v>
      </c>
      <c r="V9" s="14" t="s">
        <v>57</v>
      </c>
      <c r="W9" s="14" t="s">
        <v>57</v>
      </c>
      <c r="X9" s="14" t="s">
        <v>57</v>
      </c>
      <c r="Y9" s="14" t="s">
        <v>57</v>
      </c>
      <c r="Z9" s="14" t="s">
        <v>57</v>
      </c>
      <c r="AA9" s="14" t="str">
        <f t="shared" si="2"/>
        <v>WO</v>
      </c>
      <c r="AB9" s="14" t="s">
        <v>57</v>
      </c>
      <c r="AC9" s="14" t="s">
        <v>57</v>
      </c>
      <c r="AD9" s="14" t="s">
        <v>57</v>
      </c>
      <c r="AE9" s="14" t="s">
        <v>57</v>
      </c>
      <c r="AF9" s="14" t="s">
        <v>57</v>
      </c>
      <c r="AG9" s="14" t="s">
        <v>57</v>
      </c>
      <c r="AH9" s="14" t="str">
        <f t="shared" si="2"/>
        <v>WO</v>
      </c>
      <c r="AI9" s="14" t="s">
        <v>57</v>
      </c>
      <c r="AJ9" s="14" t="s">
        <v>57</v>
      </c>
      <c r="AK9" s="14" t="s">
        <v>57</v>
      </c>
      <c r="AL9" s="14" t="s">
        <v>57</v>
      </c>
      <c r="AM9" s="14" t="s">
        <v>57</v>
      </c>
      <c r="AN9" s="32" t="s">
        <v>57</v>
      </c>
      <c r="AO9" s="39"/>
      <c r="AR9" s="43"/>
      <c r="AS9" s="22">
        <v>2</v>
      </c>
      <c r="AT9" s="14" t="s">
        <v>21</v>
      </c>
      <c r="AU9" s="14" t="str">
        <f t="shared" si="3"/>
        <v>October</v>
      </c>
      <c r="AV9" s="10" t="s">
        <v>4</v>
      </c>
      <c r="AW9" s="22">
        <f t="shared" si="4"/>
        <v>26</v>
      </c>
      <c r="AX9" s="22">
        <f t="shared" si="5"/>
        <v>0</v>
      </c>
      <c r="AY9" s="22">
        <f t="shared" si="6"/>
        <v>1</v>
      </c>
      <c r="AZ9" s="22">
        <f t="shared" si="7"/>
        <v>4</v>
      </c>
      <c r="BA9" s="22">
        <f t="shared" si="8"/>
        <v>31</v>
      </c>
      <c r="BB9" s="22">
        <f>JanMonthlyReport12[[#This Row],[Days]]-JanMonthlyReport12[[#This Row],[Absent]]</f>
        <v>31</v>
      </c>
      <c r="BC9" s="23">
        <v>70000</v>
      </c>
      <c r="BD9" s="23">
        <f>JanMonthlyReport12[[#This Row],[Basic Salary]]/JanMonthlyReport12[[#This Row],[Days]]</f>
        <v>2258.0645161290322</v>
      </c>
      <c r="BE9" s="23">
        <f>JanMonthlyReport12[[#This Row],[Per Day Salary]]*JanMonthlyReport12[[#This Row],[Absent]]</f>
        <v>0</v>
      </c>
      <c r="BF9" s="26">
        <f>JanMonthlyReport12[[#This Row],[Basic Salary]]-JanMonthlyReport12[[#This Row],[Deduction]]</f>
        <v>70000</v>
      </c>
      <c r="BG9" s="21"/>
      <c r="BH9" s="43"/>
    </row>
    <row r="10" spans="1:60" x14ac:dyDescent="0.25">
      <c r="A10"/>
      <c r="B10"/>
      <c r="E10" s="39"/>
      <c r="F10" s="24">
        <v>3</v>
      </c>
      <c r="G10" s="14" t="s">
        <v>22</v>
      </c>
      <c r="H10" s="10" t="s">
        <v>5</v>
      </c>
      <c r="I10" s="15">
        <f t="shared" si="9"/>
        <v>4</v>
      </c>
      <c r="J10" s="14" t="s">
        <v>57</v>
      </c>
      <c r="K10" s="14" t="s">
        <v>57</v>
      </c>
      <c r="L10" s="14" t="s">
        <v>57</v>
      </c>
      <c r="M10" s="14" t="str">
        <f t="shared" si="2"/>
        <v>WO</v>
      </c>
      <c r="N10" s="14" t="s">
        <v>58</v>
      </c>
      <c r="O10" s="14" t="s">
        <v>57</v>
      </c>
      <c r="P10" s="14" t="s">
        <v>57</v>
      </c>
      <c r="Q10" s="14" t="s">
        <v>57</v>
      </c>
      <c r="R10" s="14" t="s">
        <v>57</v>
      </c>
      <c r="S10" s="14" t="s">
        <v>57</v>
      </c>
      <c r="T10" s="14" t="str">
        <f t="shared" si="2"/>
        <v>WO</v>
      </c>
      <c r="U10" s="14" t="s">
        <v>57</v>
      </c>
      <c r="V10" s="14" t="s">
        <v>57</v>
      </c>
      <c r="W10" s="14" t="s">
        <v>59</v>
      </c>
      <c r="X10" s="14" t="s">
        <v>57</v>
      </c>
      <c r="Y10" s="14" t="s">
        <v>57</v>
      </c>
      <c r="Z10" s="14" t="s">
        <v>57</v>
      </c>
      <c r="AA10" s="14" t="str">
        <f t="shared" si="2"/>
        <v>WO</v>
      </c>
      <c r="AB10" s="14" t="s">
        <v>57</v>
      </c>
      <c r="AC10" s="14" t="s">
        <v>57</v>
      </c>
      <c r="AD10" s="14" t="s">
        <v>57</v>
      </c>
      <c r="AE10" s="14" t="s">
        <v>57</v>
      </c>
      <c r="AF10" s="14" t="s">
        <v>57</v>
      </c>
      <c r="AG10" s="14" t="s">
        <v>57</v>
      </c>
      <c r="AH10" s="14" t="str">
        <f t="shared" si="2"/>
        <v>WO</v>
      </c>
      <c r="AI10" s="14" t="s">
        <v>57</v>
      </c>
      <c r="AJ10" s="14" t="s">
        <v>57</v>
      </c>
      <c r="AK10" s="14" t="s">
        <v>57</v>
      </c>
      <c r="AL10" s="14" t="s">
        <v>57</v>
      </c>
      <c r="AM10" s="14" t="s">
        <v>57</v>
      </c>
      <c r="AN10" s="32" t="s">
        <v>57</v>
      </c>
      <c r="AO10" s="39"/>
      <c r="AR10" s="43"/>
      <c r="AS10" s="22">
        <v>3</v>
      </c>
      <c r="AT10" s="14" t="s">
        <v>22</v>
      </c>
      <c r="AU10" s="14" t="str">
        <f t="shared" si="3"/>
        <v>October</v>
      </c>
      <c r="AV10" s="10" t="s">
        <v>5</v>
      </c>
      <c r="AW10" s="22">
        <f t="shared" si="4"/>
        <v>25</v>
      </c>
      <c r="AX10" s="22">
        <f t="shared" si="5"/>
        <v>1</v>
      </c>
      <c r="AY10" s="22">
        <f t="shared" si="6"/>
        <v>1</v>
      </c>
      <c r="AZ10" s="22">
        <f t="shared" si="7"/>
        <v>4</v>
      </c>
      <c r="BA10" s="22">
        <f t="shared" si="8"/>
        <v>31</v>
      </c>
      <c r="BB10" s="22">
        <f>JanMonthlyReport12[[#This Row],[Days]]-JanMonthlyReport12[[#This Row],[Absent]]</f>
        <v>30</v>
      </c>
      <c r="BC10" s="23">
        <v>80000</v>
      </c>
      <c r="BD10" s="23">
        <f>JanMonthlyReport12[[#This Row],[Basic Salary]]/JanMonthlyReport12[[#This Row],[Days]]</f>
        <v>2580.6451612903224</v>
      </c>
      <c r="BE10" s="23">
        <f>JanMonthlyReport12[[#This Row],[Per Day Salary]]*JanMonthlyReport12[[#This Row],[Absent]]</f>
        <v>2580.6451612903224</v>
      </c>
      <c r="BF10" s="26">
        <f>JanMonthlyReport12[[#This Row],[Basic Salary]]-JanMonthlyReport12[[#This Row],[Deduction]]</f>
        <v>77419.354838709682</v>
      </c>
      <c r="BG10" s="21"/>
      <c r="BH10" s="43"/>
    </row>
    <row r="11" spans="1:60" x14ac:dyDescent="0.25">
      <c r="A11"/>
      <c r="B11"/>
      <c r="E11" s="39"/>
      <c r="F11" s="24">
        <v>4</v>
      </c>
      <c r="G11" s="14" t="s">
        <v>23</v>
      </c>
      <c r="H11" s="10" t="s">
        <v>6</v>
      </c>
      <c r="I11" s="15">
        <f t="shared" si="9"/>
        <v>4</v>
      </c>
      <c r="J11" s="14" t="s">
        <v>57</v>
      </c>
      <c r="K11" s="14" t="s">
        <v>57</v>
      </c>
      <c r="L11" s="14" t="s">
        <v>57</v>
      </c>
      <c r="M11" s="14" t="str">
        <f t="shared" si="2"/>
        <v>WO</v>
      </c>
      <c r="N11" s="14" t="s">
        <v>58</v>
      </c>
      <c r="O11" s="14" t="s">
        <v>57</v>
      </c>
      <c r="P11" s="14" t="s">
        <v>57</v>
      </c>
      <c r="Q11" s="14" t="s">
        <v>57</v>
      </c>
      <c r="R11" s="14" t="s">
        <v>57</v>
      </c>
      <c r="S11" s="14" t="s">
        <v>57</v>
      </c>
      <c r="T11" s="14" t="str">
        <f t="shared" si="2"/>
        <v>WO</v>
      </c>
      <c r="U11" s="14" t="s">
        <v>57</v>
      </c>
      <c r="V11" s="14" t="s">
        <v>57</v>
      </c>
      <c r="W11" s="14" t="s">
        <v>57</v>
      </c>
      <c r="X11" s="14" t="s">
        <v>57</v>
      </c>
      <c r="Y11" s="14" t="s">
        <v>57</v>
      </c>
      <c r="Z11" s="14" t="s">
        <v>57</v>
      </c>
      <c r="AA11" s="14" t="str">
        <f t="shared" si="2"/>
        <v>WO</v>
      </c>
      <c r="AB11" s="14" t="s">
        <v>57</v>
      </c>
      <c r="AC11" s="14" t="s">
        <v>57</v>
      </c>
      <c r="AD11" s="14" t="s">
        <v>57</v>
      </c>
      <c r="AE11" s="14" t="s">
        <v>57</v>
      </c>
      <c r="AF11" s="14" t="s">
        <v>57</v>
      </c>
      <c r="AG11" s="14" t="s">
        <v>57</v>
      </c>
      <c r="AH11" s="14" t="str">
        <f t="shared" si="2"/>
        <v>WO</v>
      </c>
      <c r="AI11" s="14" t="s">
        <v>57</v>
      </c>
      <c r="AJ11" s="14" t="s">
        <v>57</v>
      </c>
      <c r="AK11" s="14" t="s">
        <v>57</v>
      </c>
      <c r="AL11" s="14" t="s">
        <v>57</v>
      </c>
      <c r="AM11" s="14" t="s">
        <v>57</v>
      </c>
      <c r="AN11" s="32" t="s">
        <v>57</v>
      </c>
      <c r="AO11" s="39"/>
      <c r="AR11" s="43"/>
      <c r="AS11" s="22">
        <v>4</v>
      </c>
      <c r="AT11" s="14" t="s">
        <v>23</v>
      </c>
      <c r="AU11" s="14" t="str">
        <f t="shared" si="3"/>
        <v>October</v>
      </c>
      <c r="AV11" s="10" t="s">
        <v>6</v>
      </c>
      <c r="AW11" s="22">
        <f t="shared" si="4"/>
        <v>26</v>
      </c>
      <c r="AX11" s="22">
        <f t="shared" si="5"/>
        <v>0</v>
      </c>
      <c r="AY11" s="22">
        <f t="shared" si="6"/>
        <v>1</v>
      </c>
      <c r="AZ11" s="22">
        <f t="shared" si="7"/>
        <v>4</v>
      </c>
      <c r="BA11" s="22">
        <f t="shared" si="8"/>
        <v>31</v>
      </c>
      <c r="BB11" s="22">
        <f>JanMonthlyReport12[[#This Row],[Days]]-JanMonthlyReport12[[#This Row],[Absent]]</f>
        <v>31</v>
      </c>
      <c r="BC11" s="23">
        <v>75000</v>
      </c>
      <c r="BD11" s="23">
        <f>JanMonthlyReport12[[#This Row],[Basic Salary]]/JanMonthlyReport12[[#This Row],[Days]]</f>
        <v>2419.3548387096776</v>
      </c>
      <c r="BE11" s="23">
        <f>JanMonthlyReport12[[#This Row],[Per Day Salary]]*JanMonthlyReport12[[#This Row],[Absent]]</f>
        <v>0</v>
      </c>
      <c r="BF11" s="26">
        <f>JanMonthlyReport12[[#This Row],[Basic Salary]]-JanMonthlyReport12[[#This Row],[Deduction]]</f>
        <v>75000</v>
      </c>
      <c r="BG11" s="21"/>
      <c r="BH11" s="43"/>
    </row>
    <row r="12" spans="1:60" x14ac:dyDescent="0.25">
      <c r="A12"/>
      <c r="B12"/>
      <c r="E12" s="39"/>
      <c r="F12" s="24">
        <v>5</v>
      </c>
      <c r="G12" s="14" t="s">
        <v>24</v>
      </c>
      <c r="H12" s="10" t="s">
        <v>7</v>
      </c>
      <c r="I12" s="15">
        <f t="shared" si="9"/>
        <v>4</v>
      </c>
      <c r="J12" s="14" t="s">
        <v>57</v>
      </c>
      <c r="K12" s="14" t="s">
        <v>57</v>
      </c>
      <c r="L12" s="14" t="s">
        <v>57</v>
      </c>
      <c r="M12" s="14" t="str">
        <f t="shared" si="2"/>
        <v>WO</v>
      </c>
      <c r="N12" s="14" t="s">
        <v>58</v>
      </c>
      <c r="O12" s="14" t="s">
        <v>57</v>
      </c>
      <c r="P12" s="14" t="s">
        <v>57</v>
      </c>
      <c r="Q12" s="14" t="s">
        <v>57</v>
      </c>
      <c r="R12" s="14" t="s">
        <v>57</v>
      </c>
      <c r="S12" s="14" t="s">
        <v>57</v>
      </c>
      <c r="T12" s="14" t="str">
        <f t="shared" si="2"/>
        <v>WO</v>
      </c>
      <c r="U12" s="14" t="s">
        <v>57</v>
      </c>
      <c r="V12" s="14" t="s">
        <v>57</v>
      </c>
      <c r="W12" s="14" t="s">
        <v>57</v>
      </c>
      <c r="X12" s="14" t="s">
        <v>57</v>
      </c>
      <c r="Y12" s="14" t="s">
        <v>57</v>
      </c>
      <c r="Z12" s="14" t="s">
        <v>57</v>
      </c>
      <c r="AA12" s="14" t="str">
        <f t="shared" si="2"/>
        <v>WO</v>
      </c>
      <c r="AB12" s="14" t="s">
        <v>57</v>
      </c>
      <c r="AC12" s="14" t="s">
        <v>57</v>
      </c>
      <c r="AD12" s="14" t="s">
        <v>57</v>
      </c>
      <c r="AE12" s="14" t="s">
        <v>57</v>
      </c>
      <c r="AF12" s="14" t="s">
        <v>57</v>
      </c>
      <c r="AG12" s="14" t="s">
        <v>57</v>
      </c>
      <c r="AH12" s="14" t="str">
        <f t="shared" si="2"/>
        <v>WO</v>
      </c>
      <c r="AI12" s="14" t="s">
        <v>57</v>
      </c>
      <c r="AJ12" s="14" t="s">
        <v>57</v>
      </c>
      <c r="AK12" s="14" t="s">
        <v>57</v>
      </c>
      <c r="AL12" s="14" t="s">
        <v>57</v>
      </c>
      <c r="AM12" s="14" t="s">
        <v>57</v>
      </c>
      <c r="AN12" s="32" t="s">
        <v>57</v>
      </c>
      <c r="AO12" s="39"/>
      <c r="AR12" s="43"/>
      <c r="AS12" s="22">
        <v>5</v>
      </c>
      <c r="AT12" s="14" t="s">
        <v>24</v>
      </c>
      <c r="AU12" s="14" t="str">
        <f t="shared" si="3"/>
        <v>October</v>
      </c>
      <c r="AV12" s="10" t="s">
        <v>7</v>
      </c>
      <c r="AW12" s="22">
        <f t="shared" si="4"/>
        <v>26</v>
      </c>
      <c r="AX12" s="22">
        <f t="shared" si="5"/>
        <v>0</v>
      </c>
      <c r="AY12" s="22">
        <f t="shared" si="6"/>
        <v>1</v>
      </c>
      <c r="AZ12" s="22">
        <f t="shared" si="7"/>
        <v>4</v>
      </c>
      <c r="BA12" s="22">
        <f t="shared" si="8"/>
        <v>31</v>
      </c>
      <c r="BB12" s="22">
        <f>JanMonthlyReport12[[#This Row],[Days]]-JanMonthlyReport12[[#This Row],[Absent]]</f>
        <v>31</v>
      </c>
      <c r="BC12" s="23">
        <v>16000</v>
      </c>
      <c r="BD12" s="23">
        <f>JanMonthlyReport12[[#This Row],[Basic Salary]]/JanMonthlyReport12[[#This Row],[Days]]</f>
        <v>516.12903225806451</v>
      </c>
      <c r="BE12" s="23">
        <f>JanMonthlyReport12[[#This Row],[Per Day Salary]]*JanMonthlyReport12[[#This Row],[Absent]]</f>
        <v>0</v>
      </c>
      <c r="BF12" s="26">
        <f>JanMonthlyReport12[[#This Row],[Basic Salary]]-JanMonthlyReport12[[#This Row],[Deduction]]</f>
        <v>16000</v>
      </c>
      <c r="BG12" s="21"/>
      <c r="BH12" s="43"/>
    </row>
    <row r="13" spans="1:60" x14ac:dyDescent="0.25">
      <c r="A13"/>
      <c r="B13"/>
      <c r="E13" s="39"/>
      <c r="F13" s="24">
        <v>6</v>
      </c>
      <c r="G13" s="14" t="s">
        <v>25</v>
      </c>
      <c r="H13" s="10" t="s">
        <v>8</v>
      </c>
      <c r="I13" s="15">
        <f t="shared" si="9"/>
        <v>4</v>
      </c>
      <c r="J13" s="14" t="s">
        <v>57</v>
      </c>
      <c r="K13" s="14" t="s">
        <v>57</v>
      </c>
      <c r="L13" s="14" t="s">
        <v>57</v>
      </c>
      <c r="M13" s="14" t="str">
        <f t="shared" si="2"/>
        <v>WO</v>
      </c>
      <c r="N13" s="14" t="s">
        <v>58</v>
      </c>
      <c r="O13" s="14" t="s">
        <v>57</v>
      </c>
      <c r="P13" s="14" t="s">
        <v>57</v>
      </c>
      <c r="Q13" s="14" t="s">
        <v>57</v>
      </c>
      <c r="R13" s="14" t="s">
        <v>57</v>
      </c>
      <c r="S13" s="14" t="s">
        <v>57</v>
      </c>
      <c r="T13" s="14" t="str">
        <f t="shared" si="2"/>
        <v>WO</v>
      </c>
      <c r="U13" s="14" t="s">
        <v>57</v>
      </c>
      <c r="V13" s="14" t="s">
        <v>57</v>
      </c>
      <c r="W13" s="14" t="s">
        <v>57</v>
      </c>
      <c r="X13" s="14" t="s">
        <v>57</v>
      </c>
      <c r="Y13" s="14" t="s">
        <v>57</v>
      </c>
      <c r="Z13" s="14" t="s">
        <v>57</v>
      </c>
      <c r="AA13" s="14" t="str">
        <f t="shared" si="2"/>
        <v>WO</v>
      </c>
      <c r="AB13" s="14" t="s">
        <v>59</v>
      </c>
      <c r="AC13" s="14" t="s">
        <v>57</v>
      </c>
      <c r="AD13" s="14" t="s">
        <v>57</v>
      </c>
      <c r="AE13" s="14" t="s">
        <v>57</v>
      </c>
      <c r="AF13" s="14" t="s">
        <v>57</v>
      </c>
      <c r="AG13" s="14" t="s">
        <v>57</v>
      </c>
      <c r="AH13" s="14" t="str">
        <f t="shared" si="2"/>
        <v>WO</v>
      </c>
      <c r="AI13" s="14" t="s">
        <v>57</v>
      </c>
      <c r="AJ13" s="14" t="s">
        <v>57</v>
      </c>
      <c r="AK13" s="14" t="s">
        <v>57</v>
      </c>
      <c r="AL13" s="14" t="s">
        <v>57</v>
      </c>
      <c r="AM13" s="14" t="s">
        <v>57</v>
      </c>
      <c r="AN13" s="32" t="s">
        <v>57</v>
      </c>
      <c r="AO13" s="39"/>
      <c r="AR13" s="43"/>
      <c r="AS13" s="22">
        <v>6</v>
      </c>
      <c r="AT13" s="14" t="s">
        <v>25</v>
      </c>
      <c r="AU13" s="14" t="str">
        <f t="shared" si="3"/>
        <v>October</v>
      </c>
      <c r="AV13" s="10" t="s">
        <v>8</v>
      </c>
      <c r="AW13" s="22">
        <f t="shared" si="4"/>
        <v>25</v>
      </c>
      <c r="AX13" s="22">
        <f t="shared" si="5"/>
        <v>1</v>
      </c>
      <c r="AY13" s="22">
        <f t="shared" si="6"/>
        <v>1</v>
      </c>
      <c r="AZ13" s="22">
        <f t="shared" si="7"/>
        <v>4</v>
      </c>
      <c r="BA13" s="22">
        <f t="shared" si="8"/>
        <v>31</v>
      </c>
      <c r="BB13" s="22">
        <f>JanMonthlyReport12[[#This Row],[Days]]-JanMonthlyReport12[[#This Row],[Absent]]</f>
        <v>30</v>
      </c>
      <c r="BC13" s="23">
        <v>12000</v>
      </c>
      <c r="BD13" s="23">
        <f>JanMonthlyReport12[[#This Row],[Basic Salary]]/JanMonthlyReport12[[#This Row],[Days]]</f>
        <v>387.09677419354841</v>
      </c>
      <c r="BE13" s="23">
        <f>JanMonthlyReport12[[#This Row],[Per Day Salary]]*JanMonthlyReport12[[#This Row],[Absent]]</f>
        <v>387.09677419354841</v>
      </c>
      <c r="BF13" s="26">
        <f>JanMonthlyReport12[[#This Row],[Basic Salary]]-JanMonthlyReport12[[#This Row],[Deduction]]</f>
        <v>11612.903225806451</v>
      </c>
      <c r="BG13" s="21"/>
      <c r="BH13" s="43"/>
    </row>
    <row r="14" spans="1:60" x14ac:dyDescent="0.25">
      <c r="A14"/>
      <c r="B14"/>
      <c r="E14" s="39"/>
      <c r="F14" s="24">
        <v>7</v>
      </c>
      <c r="G14" s="14" t="s">
        <v>26</v>
      </c>
      <c r="H14" s="10" t="s">
        <v>9</v>
      </c>
      <c r="I14" s="15">
        <f t="shared" si="9"/>
        <v>4</v>
      </c>
      <c r="J14" s="14" t="s">
        <v>57</v>
      </c>
      <c r="K14" s="14" t="s">
        <v>57</v>
      </c>
      <c r="L14" s="14" t="s">
        <v>57</v>
      </c>
      <c r="M14" s="14" t="str">
        <f t="shared" si="2"/>
        <v>WO</v>
      </c>
      <c r="N14" s="14" t="s">
        <v>58</v>
      </c>
      <c r="O14" s="14" t="s">
        <v>57</v>
      </c>
      <c r="P14" s="14" t="s">
        <v>57</v>
      </c>
      <c r="Q14" s="14" t="s">
        <v>57</v>
      </c>
      <c r="R14" s="14" t="s">
        <v>57</v>
      </c>
      <c r="S14" s="14" t="s">
        <v>57</v>
      </c>
      <c r="T14" s="14" t="str">
        <f t="shared" si="2"/>
        <v>WO</v>
      </c>
      <c r="U14" s="14" t="s">
        <v>57</v>
      </c>
      <c r="V14" s="14" t="s">
        <v>57</v>
      </c>
      <c r="W14" s="14" t="s">
        <v>57</v>
      </c>
      <c r="X14" s="14" t="s">
        <v>57</v>
      </c>
      <c r="Y14" s="14" t="s">
        <v>57</v>
      </c>
      <c r="Z14" s="14" t="s">
        <v>57</v>
      </c>
      <c r="AA14" s="14" t="str">
        <f t="shared" si="2"/>
        <v>WO</v>
      </c>
      <c r="AB14" s="14" t="s">
        <v>57</v>
      </c>
      <c r="AC14" s="14" t="s">
        <v>57</v>
      </c>
      <c r="AD14" s="14" t="s">
        <v>57</v>
      </c>
      <c r="AE14" s="14" t="s">
        <v>57</v>
      </c>
      <c r="AF14" s="14" t="s">
        <v>57</v>
      </c>
      <c r="AG14" s="14" t="s">
        <v>57</v>
      </c>
      <c r="AH14" s="14" t="str">
        <f t="shared" si="2"/>
        <v>WO</v>
      </c>
      <c r="AI14" s="14" t="s">
        <v>57</v>
      </c>
      <c r="AJ14" s="14" t="s">
        <v>57</v>
      </c>
      <c r="AK14" s="14" t="s">
        <v>57</v>
      </c>
      <c r="AL14" s="14" t="s">
        <v>57</v>
      </c>
      <c r="AM14" s="14" t="s">
        <v>57</v>
      </c>
      <c r="AN14" s="32" t="s">
        <v>57</v>
      </c>
      <c r="AO14" s="39"/>
      <c r="AR14" s="43"/>
      <c r="AS14" s="22">
        <v>7</v>
      </c>
      <c r="AT14" s="14" t="s">
        <v>26</v>
      </c>
      <c r="AU14" s="14" t="str">
        <f t="shared" si="3"/>
        <v>October</v>
      </c>
      <c r="AV14" s="10" t="s">
        <v>9</v>
      </c>
      <c r="AW14" s="22">
        <f t="shared" si="4"/>
        <v>26</v>
      </c>
      <c r="AX14" s="22">
        <f t="shared" si="5"/>
        <v>0</v>
      </c>
      <c r="AY14" s="22">
        <f t="shared" si="6"/>
        <v>1</v>
      </c>
      <c r="AZ14" s="22">
        <f t="shared" si="7"/>
        <v>4</v>
      </c>
      <c r="BA14" s="22">
        <f t="shared" si="8"/>
        <v>31</v>
      </c>
      <c r="BB14" s="22">
        <f>JanMonthlyReport12[[#This Row],[Days]]-JanMonthlyReport12[[#This Row],[Absent]]</f>
        <v>31</v>
      </c>
      <c r="BC14" s="23">
        <v>13000</v>
      </c>
      <c r="BD14" s="23">
        <f>JanMonthlyReport12[[#This Row],[Basic Salary]]/JanMonthlyReport12[[#This Row],[Days]]</f>
        <v>419.35483870967744</v>
      </c>
      <c r="BE14" s="23">
        <f>JanMonthlyReport12[[#This Row],[Per Day Salary]]*JanMonthlyReport12[[#This Row],[Absent]]</f>
        <v>0</v>
      </c>
      <c r="BF14" s="26">
        <f>JanMonthlyReport12[[#This Row],[Basic Salary]]-JanMonthlyReport12[[#This Row],[Deduction]]</f>
        <v>13000</v>
      </c>
      <c r="BG14" s="21"/>
      <c r="BH14" s="43"/>
    </row>
    <row r="15" spans="1:60" x14ac:dyDescent="0.25">
      <c r="A15"/>
      <c r="B15"/>
      <c r="E15" s="39"/>
      <c r="F15" s="24">
        <v>8</v>
      </c>
      <c r="G15" s="14" t="s">
        <v>27</v>
      </c>
      <c r="H15" s="10" t="s">
        <v>11</v>
      </c>
      <c r="I15" s="15">
        <f t="shared" si="9"/>
        <v>4</v>
      </c>
      <c r="J15" s="14" t="s">
        <v>57</v>
      </c>
      <c r="K15" s="14" t="s">
        <v>57</v>
      </c>
      <c r="L15" s="14" t="s">
        <v>57</v>
      </c>
      <c r="M15" s="14" t="str">
        <f t="shared" si="2"/>
        <v>WO</v>
      </c>
      <c r="N15" s="14" t="s">
        <v>58</v>
      </c>
      <c r="O15" s="14" t="s">
        <v>57</v>
      </c>
      <c r="P15" s="14" t="s">
        <v>59</v>
      </c>
      <c r="Q15" s="14" t="s">
        <v>57</v>
      </c>
      <c r="R15" s="14" t="s">
        <v>57</v>
      </c>
      <c r="S15" s="14" t="s">
        <v>57</v>
      </c>
      <c r="T15" s="14" t="str">
        <f t="shared" si="2"/>
        <v>WO</v>
      </c>
      <c r="U15" s="14" t="s">
        <v>57</v>
      </c>
      <c r="V15" s="14" t="s">
        <v>57</v>
      </c>
      <c r="W15" s="14" t="s">
        <v>57</v>
      </c>
      <c r="X15" s="14" t="s">
        <v>57</v>
      </c>
      <c r="Y15" s="14" t="s">
        <v>57</v>
      </c>
      <c r="Z15" s="14" t="s">
        <v>57</v>
      </c>
      <c r="AA15" s="14" t="str">
        <f t="shared" si="2"/>
        <v>WO</v>
      </c>
      <c r="AB15" s="14" t="s">
        <v>57</v>
      </c>
      <c r="AC15" s="14" t="s">
        <v>57</v>
      </c>
      <c r="AD15" s="14" t="s">
        <v>57</v>
      </c>
      <c r="AE15" s="14" t="s">
        <v>57</v>
      </c>
      <c r="AF15" s="14" t="s">
        <v>57</v>
      </c>
      <c r="AG15" s="14" t="s">
        <v>57</v>
      </c>
      <c r="AH15" s="14" t="str">
        <f t="shared" si="2"/>
        <v>WO</v>
      </c>
      <c r="AI15" s="14" t="s">
        <v>57</v>
      </c>
      <c r="AJ15" s="14" t="s">
        <v>57</v>
      </c>
      <c r="AK15" s="14" t="s">
        <v>57</v>
      </c>
      <c r="AL15" s="14" t="s">
        <v>57</v>
      </c>
      <c r="AM15" s="14" t="s">
        <v>57</v>
      </c>
      <c r="AN15" s="32" t="s">
        <v>57</v>
      </c>
      <c r="AO15" s="39"/>
      <c r="AR15" s="43"/>
      <c r="AS15" s="22">
        <v>8</v>
      </c>
      <c r="AT15" s="14" t="s">
        <v>27</v>
      </c>
      <c r="AU15" s="14" t="str">
        <f t="shared" si="3"/>
        <v>October</v>
      </c>
      <c r="AV15" s="10" t="s">
        <v>11</v>
      </c>
      <c r="AW15" s="22">
        <f t="shared" si="4"/>
        <v>25</v>
      </c>
      <c r="AX15" s="22">
        <f t="shared" si="5"/>
        <v>1</v>
      </c>
      <c r="AY15" s="22">
        <f t="shared" si="6"/>
        <v>1</v>
      </c>
      <c r="AZ15" s="22">
        <f t="shared" si="7"/>
        <v>4</v>
      </c>
      <c r="BA15" s="22">
        <f t="shared" si="8"/>
        <v>31</v>
      </c>
      <c r="BB15" s="22">
        <f>JanMonthlyReport12[[#This Row],[Days]]-JanMonthlyReport12[[#This Row],[Absent]]</f>
        <v>30</v>
      </c>
      <c r="BC15" s="23">
        <v>8000</v>
      </c>
      <c r="BD15" s="23">
        <f>JanMonthlyReport12[[#This Row],[Basic Salary]]/JanMonthlyReport12[[#This Row],[Days]]</f>
        <v>258.06451612903226</v>
      </c>
      <c r="BE15" s="23">
        <f>JanMonthlyReport12[[#This Row],[Per Day Salary]]*JanMonthlyReport12[[#This Row],[Absent]]</f>
        <v>258.06451612903226</v>
      </c>
      <c r="BF15" s="26">
        <f>JanMonthlyReport12[[#This Row],[Basic Salary]]-JanMonthlyReport12[[#This Row],[Deduction]]</f>
        <v>7741.9354838709678</v>
      </c>
      <c r="BG15" s="21"/>
      <c r="BH15" s="43"/>
    </row>
    <row r="16" spans="1:60" x14ac:dyDescent="0.25">
      <c r="A16"/>
      <c r="B16"/>
      <c r="E16" s="39"/>
      <c r="F16" s="24">
        <v>9</v>
      </c>
      <c r="G16" s="14" t="s">
        <v>28</v>
      </c>
      <c r="H16" s="10" t="s">
        <v>10</v>
      </c>
      <c r="I16" s="15">
        <f t="shared" si="9"/>
        <v>4</v>
      </c>
      <c r="J16" s="14" t="s">
        <v>57</v>
      </c>
      <c r="K16" s="14" t="s">
        <v>57</v>
      </c>
      <c r="L16" s="14" t="s">
        <v>57</v>
      </c>
      <c r="M16" s="14" t="str">
        <f t="shared" si="2"/>
        <v>WO</v>
      </c>
      <c r="N16" s="14" t="s">
        <v>58</v>
      </c>
      <c r="O16" s="14" t="s">
        <v>57</v>
      </c>
      <c r="P16" s="14" t="s">
        <v>57</v>
      </c>
      <c r="Q16" s="14" t="s">
        <v>57</v>
      </c>
      <c r="R16" s="14" t="s">
        <v>57</v>
      </c>
      <c r="S16" s="14" t="s">
        <v>57</v>
      </c>
      <c r="T16" s="14" t="str">
        <f t="shared" si="2"/>
        <v>WO</v>
      </c>
      <c r="U16" s="14" t="s">
        <v>57</v>
      </c>
      <c r="V16" s="14" t="s">
        <v>57</v>
      </c>
      <c r="W16" s="14" t="s">
        <v>57</v>
      </c>
      <c r="X16" s="14" t="s">
        <v>57</v>
      </c>
      <c r="Y16" s="14" t="s">
        <v>57</v>
      </c>
      <c r="Z16" s="14" t="s">
        <v>57</v>
      </c>
      <c r="AA16" s="14" t="str">
        <f t="shared" ref="Z16:AN24" si="10">IF(AA$6 = "sun","WO","")</f>
        <v>WO</v>
      </c>
      <c r="AB16" s="14" t="s">
        <v>57</v>
      </c>
      <c r="AC16" s="14" t="s">
        <v>57</v>
      </c>
      <c r="AD16" s="14" t="s">
        <v>57</v>
      </c>
      <c r="AE16" s="14" t="s">
        <v>57</v>
      </c>
      <c r="AF16" s="14" t="s">
        <v>57</v>
      </c>
      <c r="AG16" s="14" t="s">
        <v>57</v>
      </c>
      <c r="AH16" s="14" t="str">
        <f t="shared" si="10"/>
        <v>WO</v>
      </c>
      <c r="AI16" s="14" t="s">
        <v>57</v>
      </c>
      <c r="AJ16" s="14" t="s">
        <v>57</v>
      </c>
      <c r="AK16" s="14" t="s">
        <v>57</v>
      </c>
      <c r="AL16" s="14" t="s">
        <v>57</v>
      </c>
      <c r="AM16" s="14" t="s">
        <v>57</v>
      </c>
      <c r="AN16" s="32" t="s">
        <v>57</v>
      </c>
      <c r="AO16" s="39"/>
      <c r="AR16" s="43"/>
      <c r="AS16" s="22">
        <v>9</v>
      </c>
      <c r="AT16" s="14" t="s">
        <v>28</v>
      </c>
      <c r="AU16" s="14" t="str">
        <f t="shared" si="3"/>
        <v>October</v>
      </c>
      <c r="AV16" s="10" t="s">
        <v>10</v>
      </c>
      <c r="AW16" s="22">
        <f t="shared" si="4"/>
        <v>26</v>
      </c>
      <c r="AX16" s="22">
        <f t="shared" si="5"/>
        <v>0</v>
      </c>
      <c r="AY16" s="22">
        <f t="shared" si="6"/>
        <v>1</v>
      </c>
      <c r="AZ16" s="22">
        <f t="shared" si="7"/>
        <v>4</v>
      </c>
      <c r="BA16" s="22">
        <f t="shared" si="8"/>
        <v>31</v>
      </c>
      <c r="BB16" s="22">
        <f>JanMonthlyReport12[[#This Row],[Days]]-JanMonthlyReport12[[#This Row],[Absent]]</f>
        <v>31</v>
      </c>
      <c r="BC16" s="23">
        <v>10000</v>
      </c>
      <c r="BD16" s="23">
        <f>JanMonthlyReport12[[#This Row],[Basic Salary]]/JanMonthlyReport12[[#This Row],[Days]]</f>
        <v>322.58064516129031</v>
      </c>
      <c r="BE16" s="23">
        <f>JanMonthlyReport12[[#This Row],[Per Day Salary]]*JanMonthlyReport12[[#This Row],[Absent]]</f>
        <v>0</v>
      </c>
      <c r="BF16" s="26">
        <f>JanMonthlyReport12[[#This Row],[Basic Salary]]-JanMonthlyReport12[[#This Row],[Deduction]]</f>
        <v>10000</v>
      </c>
      <c r="BG16" s="21"/>
      <c r="BH16" s="43"/>
    </row>
    <row r="17" spans="1:60" x14ac:dyDescent="0.25">
      <c r="A17"/>
      <c r="B17"/>
      <c r="E17" s="39"/>
      <c r="F17" s="24">
        <v>10</v>
      </c>
      <c r="G17" s="14" t="s">
        <v>29</v>
      </c>
      <c r="H17" s="10" t="s">
        <v>12</v>
      </c>
      <c r="I17" s="15">
        <f t="shared" si="9"/>
        <v>4</v>
      </c>
      <c r="J17" s="14" t="s">
        <v>57</v>
      </c>
      <c r="K17" s="14" t="s">
        <v>57</v>
      </c>
      <c r="L17" s="14" t="s">
        <v>57</v>
      </c>
      <c r="M17" s="14" t="str">
        <f t="shared" ref="J9:Y24" si="11">IF(M$6 = "sun","WO","")</f>
        <v>WO</v>
      </c>
      <c r="N17" s="14" t="s">
        <v>58</v>
      </c>
      <c r="O17" s="14" t="s">
        <v>57</v>
      </c>
      <c r="P17" s="14" t="s">
        <v>57</v>
      </c>
      <c r="Q17" s="14" t="s">
        <v>57</v>
      </c>
      <c r="R17" s="14" t="s">
        <v>57</v>
      </c>
      <c r="S17" s="14" t="s">
        <v>57</v>
      </c>
      <c r="T17" s="14" t="str">
        <f t="shared" si="11"/>
        <v>WO</v>
      </c>
      <c r="U17" s="14" t="s">
        <v>57</v>
      </c>
      <c r="V17" s="14" t="s">
        <v>57</v>
      </c>
      <c r="W17" s="14" t="s">
        <v>57</v>
      </c>
      <c r="X17" s="14" t="s">
        <v>57</v>
      </c>
      <c r="Y17" s="14" t="s">
        <v>57</v>
      </c>
      <c r="Z17" s="14" t="s">
        <v>57</v>
      </c>
      <c r="AA17" s="14" t="str">
        <f t="shared" si="10"/>
        <v>WO</v>
      </c>
      <c r="AB17" s="14" t="s">
        <v>57</v>
      </c>
      <c r="AC17" s="14" t="s">
        <v>57</v>
      </c>
      <c r="AD17" s="14" t="s">
        <v>57</v>
      </c>
      <c r="AE17" s="14" t="s">
        <v>57</v>
      </c>
      <c r="AF17" s="14" t="s">
        <v>57</v>
      </c>
      <c r="AG17" s="14" t="s">
        <v>57</v>
      </c>
      <c r="AH17" s="14" t="str">
        <f t="shared" si="10"/>
        <v>WO</v>
      </c>
      <c r="AI17" s="14" t="s">
        <v>57</v>
      </c>
      <c r="AJ17" s="14" t="s">
        <v>57</v>
      </c>
      <c r="AK17" s="14" t="s">
        <v>57</v>
      </c>
      <c r="AL17" s="14" t="s">
        <v>57</v>
      </c>
      <c r="AM17" s="14" t="s">
        <v>57</v>
      </c>
      <c r="AN17" s="32" t="s">
        <v>57</v>
      </c>
      <c r="AO17" s="39"/>
      <c r="AR17" s="43"/>
      <c r="AS17" s="22">
        <v>10</v>
      </c>
      <c r="AT17" s="14" t="s">
        <v>29</v>
      </c>
      <c r="AU17" s="14" t="str">
        <f t="shared" si="3"/>
        <v>October</v>
      </c>
      <c r="AV17" s="10" t="s">
        <v>12</v>
      </c>
      <c r="AW17" s="22">
        <f t="shared" si="4"/>
        <v>26</v>
      </c>
      <c r="AX17" s="22">
        <f t="shared" si="5"/>
        <v>0</v>
      </c>
      <c r="AY17" s="22">
        <f t="shared" si="6"/>
        <v>1</v>
      </c>
      <c r="AZ17" s="22">
        <f t="shared" si="7"/>
        <v>4</v>
      </c>
      <c r="BA17" s="22">
        <f t="shared" si="8"/>
        <v>31</v>
      </c>
      <c r="BB17" s="22">
        <f>JanMonthlyReport12[[#This Row],[Days]]-JanMonthlyReport12[[#This Row],[Absent]]</f>
        <v>31</v>
      </c>
      <c r="BC17" s="23">
        <v>13000</v>
      </c>
      <c r="BD17" s="23">
        <f>JanMonthlyReport12[[#This Row],[Basic Salary]]/JanMonthlyReport12[[#This Row],[Days]]</f>
        <v>419.35483870967744</v>
      </c>
      <c r="BE17" s="23">
        <f>JanMonthlyReport12[[#This Row],[Per Day Salary]]*JanMonthlyReport12[[#This Row],[Absent]]</f>
        <v>0</v>
      </c>
      <c r="BF17" s="26">
        <f>JanMonthlyReport12[[#This Row],[Basic Salary]]-JanMonthlyReport12[[#This Row],[Deduction]]</f>
        <v>13000</v>
      </c>
      <c r="BG17" s="21"/>
      <c r="BH17" s="43"/>
    </row>
    <row r="18" spans="1:60" x14ac:dyDescent="0.25">
      <c r="A18"/>
      <c r="B18"/>
      <c r="E18" s="39"/>
      <c r="F18" s="24">
        <v>11</v>
      </c>
      <c r="G18" s="14" t="s">
        <v>30</v>
      </c>
      <c r="H18" s="10" t="s">
        <v>13</v>
      </c>
      <c r="I18" s="15">
        <f t="shared" si="9"/>
        <v>4</v>
      </c>
      <c r="J18" s="14" t="s">
        <v>57</v>
      </c>
      <c r="K18" s="14" t="s">
        <v>57</v>
      </c>
      <c r="L18" s="14" t="s">
        <v>57</v>
      </c>
      <c r="M18" s="14" t="str">
        <f t="shared" si="11"/>
        <v>WO</v>
      </c>
      <c r="N18" s="14" t="s">
        <v>58</v>
      </c>
      <c r="O18" s="14" t="s">
        <v>57</v>
      </c>
      <c r="P18" s="14" t="s">
        <v>57</v>
      </c>
      <c r="Q18" s="14" t="s">
        <v>57</v>
      </c>
      <c r="R18" s="14" t="s">
        <v>57</v>
      </c>
      <c r="S18" s="14" t="s">
        <v>57</v>
      </c>
      <c r="T18" s="14" t="str">
        <f t="shared" si="11"/>
        <v>WO</v>
      </c>
      <c r="U18" s="14" t="s">
        <v>57</v>
      </c>
      <c r="V18" s="14" t="s">
        <v>57</v>
      </c>
      <c r="W18" s="14" t="s">
        <v>57</v>
      </c>
      <c r="X18" s="14" t="s">
        <v>57</v>
      </c>
      <c r="Y18" s="14" t="s">
        <v>59</v>
      </c>
      <c r="Z18" s="14" t="s">
        <v>57</v>
      </c>
      <c r="AA18" s="14" t="str">
        <f t="shared" si="10"/>
        <v>WO</v>
      </c>
      <c r="AB18" s="14" t="s">
        <v>57</v>
      </c>
      <c r="AC18" s="14" t="s">
        <v>57</v>
      </c>
      <c r="AD18" s="14" t="s">
        <v>57</v>
      </c>
      <c r="AE18" s="14" t="s">
        <v>57</v>
      </c>
      <c r="AF18" s="14" t="s">
        <v>57</v>
      </c>
      <c r="AG18" s="14" t="s">
        <v>57</v>
      </c>
      <c r="AH18" s="14" t="str">
        <f t="shared" si="10"/>
        <v>WO</v>
      </c>
      <c r="AI18" s="14" t="s">
        <v>57</v>
      </c>
      <c r="AJ18" s="14" t="s">
        <v>57</v>
      </c>
      <c r="AK18" s="14" t="s">
        <v>57</v>
      </c>
      <c r="AL18" s="14" t="s">
        <v>57</v>
      </c>
      <c r="AM18" s="14" t="s">
        <v>57</v>
      </c>
      <c r="AN18" s="32" t="s">
        <v>57</v>
      </c>
      <c r="AO18" s="39"/>
      <c r="AR18" s="43"/>
      <c r="AS18" s="22">
        <v>11</v>
      </c>
      <c r="AT18" s="14" t="s">
        <v>30</v>
      </c>
      <c r="AU18" s="14" t="str">
        <f t="shared" si="3"/>
        <v>October</v>
      </c>
      <c r="AV18" s="10" t="s">
        <v>13</v>
      </c>
      <c r="AW18" s="22">
        <f t="shared" si="4"/>
        <v>25</v>
      </c>
      <c r="AX18" s="22">
        <f t="shared" si="5"/>
        <v>1</v>
      </c>
      <c r="AY18" s="22">
        <f t="shared" si="6"/>
        <v>1</v>
      </c>
      <c r="AZ18" s="22">
        <f t="shared" si="7"/>
        <v>4</v>
      </c>
      <c r="BA18" s="22">
        <f t="shared" si="8"/>
        <v>31</v>
      </c>
      <c r="BB18" s="22">
        <f>JanMonthlyReport12[[#This Row],[Days]]-JanMonthlyReport12[[#This Row],[Absent]]</f>
        <v>30</v>
      </c>
      <c r="BC18" s="23">
        <v>10000</v>
      </c>
      <c r="BD18" s="23">
        <f>JanMonthlyReport12[[#This Row],[Basic Salary]]/JanMonthlyReport12[[#This Row],[Days]]</f>
        <v>322.58064516129031</v>
      </c>
      <c r="BE18" s="23">
        <f>JanMonthlyReport12[[#This Row],[Per Day Salary]]*JanMonthlyReport12[[#This Row],[Absent]]</f>
        <v>322.58064516129031</v>
      </c>
      <c r="BF18" s="26">
        <f>JanMonthlyReport12[[#This Row],[Basic Salary]]-JanMonthlyReport12[[#This Row],[Deduction]]</f>
        <v>9677.4193548387102</v>
      </c>
      <c r="BG18" s="21"/>
      <c r="BH18" s="43"/>
    </row>
    <row r="19" spans="1:60" x14ac:dyDescent="0.25">
      <c r="A19"/>
      <c r="B19"/>
      <c r="E19" s="39"/>
      <c r="F19" s="24">
        <v>12</v>
      </c>
      <c r="G19" s="14" t="s">
        <v>31</v>
      </c>
      <c r="H19" s="10" t="s">
        <v>14</v>
      </c>
      <c r="I19" s="15">
        <f t="shared" si="9"/>
        <v>4</v>
      </c>
      <c r="J19" s="14" t="s">
        <v>57</v>
      </c>
      <c r="K19" s="14" t="s">
        <v>57</v>
      </c>
      <c r="L19" s="14" t="s">
        <v>57</v>
      </c>
      <c r="M19" s="14" t="str">
        <f t="shared" si="11"/>
        <v>WO</v>
      </c>
      <c r="N19" s="14" t="s">
        <v>58</v>
      </c>
      <c r="O19" s="14" t="s">
        <v>57</v>
      </c>
      <c r="P19" s="14" t="s">
        <v>57</v>
      </c>
      <c r="Q19" s="14" t="s">
        <v>57</v>
      </c>
      <c r="R19" s="14" t="s">
        <v>57</v>
      </c>
      <c r="S19" s="14" t="s">
        <v>57</v>
      </c>
      <c r="T19" s="14" t="str">
        <f t="shared" si="11"/>
        <v>WO</v>
      </c>
      <c r="U19" s="14" t="s">
        <v>57</v>
      </c>
      <c r="V19" s="14" t="s">
        <v>57</v>
      </c>
      <c r="W19" s="14" t="s">
        <v>57</v>
      </c>
      <c r="X19" s="14" t="s">
        <v>57</v>
      </c>
      <c r="Y19" s="14" t="s">
        <v>57</v>
      </c>
      <c r="Z19" s="14" t="s">
        <v>57</v>
      </c>
      <c r="AA19" s="14" t="str">
        <f t="shared" si="10"/>
        <v>WO</v>
      </c>
      <c r="AB19" s="14" t="s">
        <v>57</v>
      </c>
      <c r="AC19" s="14" t="s">
        <v>57</v>
      </c>
      <c r="AD19" s="14" t="s">
        <v>57</v>
      </c>
      <c r="AE19" s="14" t="s">
        <v>57</v>
      </c>
      <c r="AF19" s="14" t="s">
        <v>57</v>
      </c>
      <c r="AG19" s="14" t="s">
        <v>57</v>
      </c>
      <c r="AH19" s="14" t="str">
        <f t="shared" si="10"/>
        <v>WO</v>
      </c>
      <c r="AI19" s="14" t="s">
        <v>57</v>
      </c>
      <c r="AJ19" s="14" t="s">
        <v>57</v>
      </c>
      <c r="AK19" s="14" t="s">
        <v>57</v>
      </c>
      <c r="AL19" s="14" t="s">
        <v>57</v>
      </c>
      <c r="AM19" s="14" t="s">
        <v>57</v>
      </c>
      <c r="AN19" s="32" t="s">
        <v>57</v>
      </c>
      <c r="AO19" s="39"/>
      <c r="AR19" s="43"/>
      <c r="AS19" s="22">
        <v>12</v>
      </c>
      <c r="AT19" s="14" t="s">
        <v>31</v>
      </c>
      <c r="AU19" s="14" t="str">
        <f t="shared" si="3"/>
        <v>October</v>
      </c>
      <c r="AV19" s="10" t="s">
        <v>14</v>
      </c>
      <c r="AW19" s="22">
        <f t="shared" si="4"/>
        <v>26</v>
      </c>
      <c r="AX19" s="22">
        <f t="shared" si="5"/>
        <v>0</v>
      </c>
      <c r="AY19" s="22">
        <f t="shared" si="6"/>
        <v>1</v>
      </c>
      <c r="AZ19" s="22">
        <f t="shared" si="7"/>
        <v>4</v>
      </c>
      <c r="BA19" s="22">
        <f t="shared" si="8"/>
        <v>31</v>
      </c>
      <c r="BB19" s="22">
        <f>JanMonthlyReport12[[#This Row],[Days]]-JanMonthlyReport12[[#This Row],[Absent]]</f>
        <v>31</v>
      </c>
      <c r="BC19" s="23">
        <v>9000</v>
      </c>
      <c r="BD19" s="23">
        <f>JanMonthlyReport12[[#This Row],[Basic Salary]]/JanMonthlyReport12[[#This Row],[Days]]</f>
        <v>290.32258064516128</v>
      </c>
      <c r="BE19" s="23">
        <f>JanMonthlyReport12[[#This Row],[Per Day Salary]]*JanMonthlyReport12[[#This Row],[Absent]]</f>
        <v>0</v>
      </c>
      <c r="BF19" s="26">
        <f>JanMonthlyReport12[[#This Row],[Basic Salary]]-JanMonthlyReport12[[#This Row],[Deduction]]</f>
        <v>9000</v>
      </c>
      <c r="BG19" s="21"/>
      <c r="BH19" s="43"/>
    </row>
    <row r="20" spans="1:60" x14ac:dyDescent="0.25">
      <c r="A20"/>
      <c r="B20"/>
      <c r="E20" s="39"/>
      <c r="F20" s="24">
        <v>13</v>
      </c>
      <c r="G20" s="14" t="s">
        <v>32</v>
      </c>
      <c r="H20" s="10" t="s">
        <v>15</v>
      </c>
      <c r="I20" s="15">
        <f t="shared" si="9"/>
        <v>4</v>
      </c>
      <c r="J20" s="14" t="s">
        <v>57</v>
      </c>
      <c r="K20" s="14" t="s">
        <v>57</v>
      </c>
      <c r="L20" s="14" t="s">
        <v>57</v>
      </c>
      <c r="M20" s="14" t="str">
        <f t="shared" si="11"/>
        <v>WO</v>
      </c>
      <c r="N20" s="14" t="s">
        <v>58</v>
      </c>
      <c r="O20" s="14" t="s">
        <v>57</v>
      </c>
      <c r="P20" s="14" t="s">
        <v>57</v>
      </c>
      <c r="Q20" s="14" t="s">
        <v>57</v>
      </c>
      <c r="R20" s="14" t="s">
        <v>57</v>
      </c>
      <c r="S20" s="14" t="s">
        <v>57</v>
      </c>
      <c r="T20" s="14" t="str">
        <f t="shared" si="11"/>
        <v>WO</v>
      </c>
      <c r="U20" s="14" t="s">
        <v>57</v>
      </c>
      <c r="V20" s="14" t="s">
        <v>57</v>
      </c>
      <c r="W20" s="14" t="s">
        <v>57</v>
      </c>
      <c r="X20" s="14" t="s">
        <v>57</v>
      </c>
      <c r="Y20" s="14" t="s">
        <v>57</v>
      </c>
      <c r="Z20" s="14" t="s">
        <v>57</v>
      </c>
      <c r="AA20" s="14" t="str">
        <f t="shared" si="10"/>
        <v>WO</v>
      </c>
      <c r="AB20" s="14" t="s">
        <v>57</v>
      </c>
      <c r="AC20" s="14" t="s">
        <v>57</v>
      </c>
      <c r="AD20" s="14" t="s">
        <v>57</v>
      </c>
      <c r="AE20" s="14" t="s">
        <v>57</v>
      </c>
      <c r="AF20" s="14" t="s">
        <v>57</v>
      </c>
      <c r="AG20" s="14" t="s">
        <v>57</v>
      </c>
      <c r="AH20" s="14" t="str">
        <f t="shared" si="10"/>
        <v>WO</v>
      </c>
      <c r="AI20" s="14" t="s">
        <v>57</v>
      </c>
      <c r="AJ20" s="14" t="s">
        <v>57</v>
      </c>
      <c r="AK20" s="14" t="s">
        <v>57</v>
      </c>
      <c r="AL20" s="14" t="s">
        <v>57</v>
      </c>
      <c r="AM20" s="14" t="s">
        <v>57</v>
      </c>
      <c r="AN20" s="32" t="s">
        <v>57</v>
      </c>
      <c r="AO20" s="39"/>
      <c r="AR20" s="43"/>
      <c r="AS20" s="22">
        <v>13</v>
      </c>
      <c r="AT20" s="14" t="s">
        <v>32</v>
      </c>
      <c r="AU20" s="14" t="str">
        <f t="shared" si="3"/>
        <v>October</v>
      </c>
      <c r="AV20" s="10" t="s">
        <v>15</v>
      </c>
      <c r="AW20" s="22">
        <f t="shared" si="4"/>
        <v>26</v>
      </c>
      <c r="AX20" s="22">
        <f t="shared" si="5"/>
        <v>0</v>
      </c>
      <c r="AY20" s="22">
        <f t="shared" si="6"/>
        <v>1</v>
      </c>
      <c r="AZ20" s="22">
        <f t="shared" si="7"/>
        <v>4</v>
      </c>
      <c r="BA20" s="22">
        <f t="shared" si="8"/>
        <v>31</v>
      </c>
      <c r="BB20" s="22">
        <f>JanMonthlyReport12[[#This Row],[Days]]-JanMonthlyReport12[[#This Row],[Absent]]</f>
        <v>31</v>
      </c>
      <c r="BC20" s="23">
        <v>10000</v>
      </c>
      <c r="BD20" s="23">
        <f>JanMonthlyReport12[[#This Row],[Basic Salary]]/JanMonthlyReport12[[#This Row],[Days]]</f>
        <v>322.58064516129031</v>
      </c>
      <c r="BE20" s="23">
        <f>JanMonthlyReport12[[#This Row],[Per Day Salary]]*JanMonthlyReport12[[#This Row],[Absent]]</f>
        <v>0</v>
      </c>
      <c r="BF20" s="26">
        <f>JanMonthlyReport12[[#This Row],[Basic Salary]]-JanMonthlyReport12[[#This Row],[Deduction]]</f>
        <v>10000</v>
      </c>
      <c r="BG20" s="21"/>
      <c r="BH20" s="43"/>
    </row>
    <row r="21" spans="1:60" x14ac:dyDescent="0.25">
      <c r="A21"/>
      <c r="B21"/>
      <c r="E21" s="39"/>
      <c r="F21" s="24">
        <v>14</v>
      </c>
      <c r="G21" s="14" t="s">
        <v>33</v>
      </c>
      <c r="H21" s="10" t="s">
        <v>16</v>
      </c>
      <c r="I21" s="15">
        <f t="shared" si="9"/>
        <v>4</v>
      </c>
      <c r="J21" s="14" t="s">
        <v>57</v>
      </c>
      <c r="K21" s="14" t="s">
        <v>57</v>
      </c>
      <c r="L21" s="14" t="s">
        <v>57</v>
      </c>
      <c r="M21" s="14" t="str">
        <f t="shared" si="11"/>
        <v>WO</v>
      </c>
      <c r="N21" s="14" t="s">
        <v>58</v>
      </c>
      <c r="O21" s="14" t="s">
        <v>57</v>
      </c>
      <c r="P21" s="14" t="s">
        <v>57</v>
      </c>
      <c r="Q21" s="14" t="s">
        <v>57</v>
      </c>
      <c r="R21" s="14" t="s">
        <v>57</v>
      </c>
      <c r="S21" s="14" t="s">
        <v>57</v>
      </c>
      <c r="T21" s="14" t="str">
        <f t="shared" si="11"/>
        <v>WO</v>
      </c>
      <c r="U21" s="14" t="s">
        <v>57</v>
      </c>
      <c r="V21" s="14" t="s">
        <v>57</v>
      </c>
      <c r="W21" s="14" t="s">
        <v>57</v>
      </c>
      <c r="X21" s="14" t="s">
        <v>57</v>
      </c>
      <c r="Y21" s="14" t="s">
        <v>57</v>
      </c>
      <c r="Z21" s="14" t="s">
        <v>57</v>
      </c>
      <c r="AA21" s="14" t="str">
        <f t="shared" si="10"/>
        <v>WO</v>
      </c>
      <c r="AB21" s="14" t="s">
        <v>57</v>
      </c>
      <c r="AC21" s="14" t="s">
        <v>57</v>
      </c>
      <c r="AD21" s="14" t="s">
        <v>57</v>
      </c>
      <c r="AE21" s="14" t="s">
        <v>59</v>
      </c>
      <c r="AF21" s="14" t="s">
        <v>57</v>
      </c>
      <c r="AG21" s="14" t="s">
        <v>57</v>
      </c>
      <c r="AH21" s="14" t="str">
        <f t="shared" si="10"/>
        <v>WO</v>
      </c>
      <c r="AI21" s="14" t="s">
        <v>57</v>
      </c>
      <c r="AJ21" s="14" t="s">
        <v>57</v>
      </c>
      <c r="AK21" s="14" t="s">
        <v>57</v>
      </c>
      <c r="AL21" s="14" t="s">
        <v>57</v>
      </c>
      <c r="AM21" s="14" t="s">
        <v>57</v>
      </c>
      <c r="AN21" s="32" t="s">
        <v>57</v>
      </c>
      <c r="AO21" s="39"/>
      <c r="AR21" s="43"/>
      <c r="AS21" s="22">
        <v>14</v>
      </c>
      <c r="AT21" s="14" t="s">
        <v>33</v>
      </c>
      <c r="AU21" s="14" t="str">
        <f t="shared" si="3"/>
        <v>October</v>
      </c>
      <c r="AV21" s="10" t="s">
        <v>16</v>
      </c>
      <c r="AW21" s="22">
        <f t="shared" si="4"/>
        <v>25</v>
      </c>
      <c r="AX21" s="22">
        <f t="shared" si="5"/>
        <v>1</v>
      </c>
      <c r="AY21" s="22">
        <f t="shared" si="6"/>
        <v>1</v>
      </c>
      <c r="AZ21" s="22">
        <f t="shared" si="7"/>
        <v>4</v>
      </c>
      <c r="BA21" s="22">
        <f t="shared" si="8"/>
        <v>31</v>
      </c>
      <c r="BB21" s="22">
        <f>JanMonthlyReport12[[#This Row],[Days]]-JanMonthlyReport12[[#This Row],[Absent]]</f>
        <v>30</v>
      </c>
      <c r="BC21" s="23">
        <v>10000</v>
      </c>
      <c r="BD21" s="23">
        <f>JanMonthlyReport12[[#This Row],[Basic Salary]]/JanMonthlyReport12[[#This Row],[Days]]</f>
        <v>322.58064516129031</v>
      </c>
      <c r="BE21" s="23">
        <f>JanMonthlyReport12[[#This Row],[Per Day Salary]]*JanMonthlyReport12[[#This Row],[Absent]]</f>
        <v>322.58064516129031</v>
      </c>
      <c r="BF21" s="26">
        <f>JanMonthlyReport12[[#This Row],[Basic Salary]]-JanMonthlyReport12[[#This Row],[Deduction]]</f>
        <v>9677.4193548387102</v>
      </c>
      <c r="BG21" s="21"/>
      <c r="BH21" s="43"/>
    </row>
    <row r="22" spans="1:60" x14ac:dyDescent="0.25">
      <c r="A22"/>
      <c r="B22"/>
      <c r="E22" s="39"/>
      <c r="F22" s="24">
        <v>15</v>
      </c>
      <c r="G22" s="14" t="s">
        <v>34</v>
      </c>
      <c r="H22" s="10" t="s">
        <v>17</v>
      </c>
      <c r="I22" s="15">
        <f t="shared" si="9"/>
        <v>4</v>
      </c>
      <c r="J22" s="14" t="s">
        <v>57</v>
      </c>
      <c r="K22" s="14" t="s">
        <v>57</v>
      </c>
      <c r="L22" s="14" t="s">
        <v>57</v>
      </c>
      <c r="M22" s="14" t="str">
        <f t="shared" si="11"/>
        <v>WO</v>
      </c>
      <c r="N22" s="14" t="s">
        <v>58</v>
      </c>
      <c r="O22" s="14" t="s">
        <v>57</v>
      </c>
      <c r="P22" s="14" t="s">
        <v>57</v>
      </c>
      <c r="Q22" s="14" t="s">
        <v>57</v>
      </c>
      <c r="R22" s="14" t="s">
        <v>57</v>
      </c>
      <c r="S22" s="14" t="s">
        <v>57</v>
      </c>
      <c r="T22" s="14" t="str">
        <f t="shared" si="11"/>
        <v>WO</v>
      </c>
      <c r="U22" s="14" t="s">
        <v>57</v>
      </c>
      <c r="V22" s="14" t="s">
        <v>57</v>
      </c>
      <c r="W22" s="14" t="s">
        <v>57</v>
      </c>
      <c r="X22" s="14" t="s">
        <v>57</v>
      </c>
      <c r="Y22" s="14" t="s">
        <v>57</v>
      </c>
      <c r="Z22" s="14" t="s">
        <v>57</v>
      </c>
      <c r="AA22" s="14" t="str">
        <f t="shared" si="10"/>
        <v>WO</v>
      </c>
      <c r="AB22" s="14" t="s">
        <v>57</v>
      </c>
      <c r="AC22" s="14" t="s">
        <v>57</v>
      </c>
      <c r="AD22" s="14" t="s">
        <v>57</v>
      </c>
      <c r="AE22" s="14" t="s">
        <v>57</v>
      </c>
      <c r="AF22" s="14" t="s">
        <v>57</v>
      </c>
      <c r="AG22" s="14" t="s">
        <v>57</v>
      </c>
      <c r="AH22" s="14" t="str">
        <f t="shared" si="10"/>
        <v>WO</v>
      </c>
      <c r="AI22" s="14" t="s">
        <v>57</v>
      </c>
      <c r="AJ22" s="14" t="s">
        <v>57</v>
      </c>
      <c r="AK22" s="14" t="s">
        <v>57</v>
      </c>
      <c r="AL22" s="14" t="s">
        <v>57</v>
      </c>
      <c r="AM22" s="14" t="s">
        <v>57</v>
      </c>
      <c r="AN22" s="32" t="s">
        <v>57</v>
      </c>
      <c r="AO22" s="39"/>
      <c r="AR22" s="43"/>
      <c r="AS22" s="22">
        <v>15</v>
      </c>
      <c r="AT22" s="14" t="s">
        <v>34</v>
      </c>
      <c r="AU22" s="14" t="str">
        <f t="shared" si="3"/>
        <v>October</v>
      </c>
      <c r="AV22" s="10" t="s">
        <v>17</v>
      </c>
      <c r="AW22" s="22">
        <f t="shared" si="4"/>
        <v>26</v>
      </c>
      <c r="AX22" s="22">
        <f t="shared" si="5"/>
        <v>0</v>
      </c>
      <c r="AY22" s="22">
        <f t="shared" si="6"/>
        <v>1</v>
      </c>
      <c r="AZ22" s="22">
        <f t="shared" si="7"/>
        <v>4</v>
      </c>
      <c r="BA22" s="22">
        <f t="shared" si="8"/>
        <v>31</v>
      </c>
      <c r="BB22" s="22">
        <f>JanMonthlyReport12[[#This Row],[Days]]-JanMonthlyReport12[[#This Row],[Absent]]</f>
        <v>31</v>
      </c>
      <c r="BC22" s="23">
        <v>10000</v>
      </c>
      <c r="BD22" s="23">
        <f>JanMonthlyReport12[[#This Row],[Basic Salary]]/JanMonthlyReport12[[#This Row],[Days]]</f>
        <v>322.58064516129031</v>
      </c>
      <c r="BE22" s="23">
        <f>JanMonthlyReport12[[#This Row],[Per Day Salary]]*JanMonthlyReport12[[#This Row],[Absent]]</f>
        <v>0</v>
      </c>
      <c r="BF22" s="26">
        <f>JanMonthlyReport12[[#This Row],[Basic Salary]]-JanMonthlyReport12[[#This Row],[Deduction]]</f>
        <v>10000</v>
      </c>
      <c r="BG22" s="21"/>
      <c r="BH22" s="43"/>
    </row>
    <row r="23" spans="1:60" x14ac:dyDescent="0.25">
      <c r="A23"/>
      <c r="B23"/>
      <c r="E23" s="39"/>
      <c r="F23" s="24">
        <v>16</v>
      </c>
      <c r="G23" s="14" t="s">
        <v>35</v>
      </c>
      <c r="H23" s="10" t="s">
        <v>18</v>
      </c>
      <c r="I23" s="15">
        <f t="shared" si="9"/>
        <v>4</v>
      </c>
      <c r="J23" s="14" t="s">
        <v>57</v>
      </c>
      <c r="K23" s="14" t="s">
        <v>57</v>
      </c>
      <c r="L23" s="14" t="s">
        <v>57</v>
      </c>
      <c r="M23" s="14" t="str">
        <f t="shared" si="11"/>
        <v>WO</v>
      </c>
      <c r="N23" s="14" t="s">
        <v>58</v>
      </c>
      <c r="O23" s="14" t="s">
        <v>57</v>
      </c>
      <c r="P23" s="14" t="s">
        <v>57</v>
      </c>
      <c r="Q23" s="14" t="s">
        <v>57</v>
      </c>
      <c r="R23" s="14" t="s">
        <v>57</v>
      </c>
      <c r="S23" s="14" t="s">
        <v>57</v>
      </c>
      <c r="T23" s="14" t="str">
        <f t="shared" si="11"/>
        <v>WO</v>
      </c>
      <c r="U23" s="14" t="s">
        <v>57</v>
      </c>
      <c r="V23" s="14" t="s">
        <v>57</v>
      </c>
      <c r="W23" s="14" t="s">
        <v>57</v>
      </c>
      <c r="X23" s="14" t="s">
        <v>57</v>
      </c>
      <c r="Y23" s="14" t="s">
        <v>57</v>
      </c>
      <c r="Z23" s="14" t="s">
        <v>57</v>
      </c>
      <c r="AA23" s="14" t="str">
        <f t="shared" si="10"/>
        <v>WO</v>
      </c>
      <c r="AB23" s="14" t="s">
        <v>57</v>
      </c>
      <c r="AC23" s="14" t="s">
        <v>57</v>
      </c>
      <c r="AD23" s="14" t="s">
        <v>57</v>
      </c>
      <c r="AE23" s="14" t="s">
        <v>57</v>
      </c>
      <c r="AF23" s="14" t="s">
        <v>57</v>
      </c>
      <c r="AG23" s="14" t="s">
        <v>57</v>
      </c>
      <c r="AH23" s="14" t="str">
        <f t="shared" si="10"/>
        <v>WO</v>
      </c>
      <c r="AI23" s="14" t="s">
        <v>57</v>
      </c>
      <c r="AJ23" s="14" t="s">
        <v>57</v>
      </c>
      <c r="AK23" s="14" t="s">
        <v>57</v>
      </c>
      <c r="AL23" s="14" t="s">
        <v>57</v>
      </c>
      <c r="AM23" s="14" t="s">
        <v>57</v>
      </c>
      <c r="AN23" s="32" t="s">
        <v>57</v>
      </c>
      <c r="AO23" s="39"/>
      <c r="AR23" s="43"/>
      <c r="AS23" s="22">
        <v>16</v>
      </c>
      <c r="AT23" s="14" t="s">
        <v>35</v>
      </c>
      <c r="AU23" s="14" t="str">
        <f t="shared" si="3"/>
        <v>October</v>
      </c>
      <c r="AV23" s="10" t="s">
        <v>18</v>
      </c>
      <c r="AW23" s="22">
        <f t="shared" si="4"/>
        <v>26</v>
      </c>
      <c r="AX23" s="22">
        <f t="shared" si="5"/>
        <v>0</v>
      </c>
      <c r="AY23" s="22">
        <f t="shared" si="6"/>
        <v>1</v>
      </c>
      <c r="AZ23" s="22">
        <f t="shared" si="7"/>
        <v>4</v>
      </c>
      <c r="BA23" s="22">
        <f t="shared" si="8"/>
        <v>31</v>
      </c>
      <c r="BB23" s="22">
        <f>JanMonthlyReport12[[#This Row],[Days]]-JanMonthlyReport12[[#This Row],[Absent]]</f>
        <v>31</v>
      </c>
      <c r="BC23" s="23">
        <v>10000</v>
      </c>
      <c r="BD23" s="23">
        <f>JanMonthlyReport12[[#This Row],[Basic Salary]]/JanMonthlyReport12[[#This Row],[Days]]</f>
        <v>322.58064516129031</v>
      </c>
      <c r="BE23" s="23">
        <f>JanMonthlyReport12[[#This Row],[Per Day Salary]]*JanMonthlyReport12[[#This Row],[Absent]]</f>
        <v>0</v>
      </c>
      <c r="BF23" s="26">
        <f>JanMonthlyReport12[[#This Row],[Basic Salary]]-JanMonthlyReport12[[#This Row],[Deduction]]</f>
        <v>10000</v>
      </c>
      <c r="BG23" s="21"/>
      <c r="BH23" s="43"/>
    </row>
    <row r="24" spans="1:60" ht="15.75" thickBot="1" x14ac:dyDescent="0.3">
      <c r="A24"/>
      <c r="B24"/>
      <c r="E24" s="39"/>
      <c r="F24" s="25">
        <v>17</v>
      </c>
      <c r="G24" s="33" t="s">
        <v>36</v>
      </c>
      <c r="H24" s="34" t="s">
        <v>19</v>
      </c>
      <c r="I24" s="35">
        <f t="shared" si="9"/>
        <v>4</v>
      </c>
      <c r="J24" s="33" t="s">
        <v>57</v>
      </c>
      <c r="K24" s="33" t="s">
        <v>57</v>
      </c>
      <c r="L24" s="33" t="s">
        <v>57</v>
      </c>
      <c r="M24" s="33" t="str">
        <f t="shared" si="11"/>
        <v>WO</v>
      </c>
      <c r="N24" s="33" t="s">
        <v>58</v>
      </c>
      <c r="O24" s="33" t="s">
        <v>57</v>
      </c>
      <c r="P24" s="33" t="s">
        <v>57</v>
      </c>
      <c r="Q24" s="33" t="s">
        <v>57</v>
      </c>
      <c r="R24" s="33" t="s">
        <v>57</v>
      </c>
      <c r="S24" s="33" t="s">
        <v>57</v>
      </c>
      <c r="T24" s="33" t="str">
        <f t="shared" si="11"/>
        <v>WO</v>
      </c>
      <c r="U24" s="33" t="s">
        <v>57</v>
      </c>
      <c r="V24" s="33" t="s">
        <v>57</v>
      </c>
      <c r="W24" s="33" t="s">
        <v>57</v>
      </c>
      <c r="X24" s="33" t="s">
        <v>57</v>
      </c>
      <c r="Y24" s="33" t="s">
        <v>57</v>
      </c>
      <c r="Z24" s="33" t="s">
        <v>57</v>
      </c>
      <c r="AA24" s="33" t="str">
        <f t="shared" si="10"/>
        <v>WO</v>
      </c>
      <c r="AB24" s="33" t="s">
        <v>57</v>
      </c>
      <c r="AC24" s="33" t="s">
        <v>57</v>
      </c>
      <c r="AD24" s="33" t="s">
        <v>57</v>
      </c>
      <c r="AE24" s="33" t="s">
        <v>57</v>
      </c>
      <c r="AF24" s="33" t="s">
        <v>57</v>
      </c>
      <c r="AG24" s="33" t="s">
        <v>57</v>
      </c>
      <c r="AH24" s="33" t="str">
        <f t="shared" si="10"/>
        <v>WO</v>
      </c>
      <c r="AI24" s="33" t="s">
        <v>57</v>
      </c>
      <c r="AJ24" s="33" t="s">
        <v>57</v>
      </c>
      <c r="AK24" s="33" t="s">
        <v>57</v>
      </c>
      <c r="AL24" s="33" t="s">
        <v>57</v>
      </c>
      <c r="AM24" s="33" t="s">
        <v>57</v>
      </c>
      <c r="AN24" s="36" t="s">
        <v>57</v>
      </c>
      <c r="AO24" s="39"/>
      <c r="AR24" s="43"/>
      <c r="AS24" s="22">
        <v>17</v>
      </c>
      <c r="AT24" s="14" t="s">
        <v>36</v>
      </c>
      <c r="AU24" s="14" t="str">
        <f t="shared" si="3"/>
        <v>October</v>
      </c>
      <c r="AV24" s="10" t="s">
        <v>19</v>
      </c>
      <c r="AW24" s="22">
        <f t="shared" si="4"/>
        <v>26</v>
      </c>
      <c r="AX24" s="22">
        <f t="shared" si="5"/>
        <v>0</v>
      </c>
      <c r="AY24" s="22">
        <f t="shared" si="6"/>
        <v>1</v>
      </c>
      <c r="AZ24" s="22">
        <f t="shared" si="7"/>
        <v>4</v>
      </c>
      <c r="BA24" s="22">
        <f t="shared" si="8"/>
        <v>31</v>
      </c>
      <c r="BB24" s="22">
        <f>JanMonthlyReport12[[#This Row],[Days]]-JanMonthlyReport12[[#This Row],[Absent]]</f>
        <v>31</v>
      </c>
      <c r="BC24" s="23">
        <v>9000</v>
      </c>
      <c r="BD24" s="23">
        <f>JanMonthlyReport12[[#This Row],[Basic Salary]]/JanMonthlyReport12[[#This Row],[Days]]</f>
        <v>290.32258064516128</v>
      </c>
      <c r="BE24" s="23">
        <f>JanMonthlyReport12[[#This Row],[Per Day Salary]]*JanMonthlyReport12[[#This Row],[Absent]]</f>
        <v>0</v>
      </c>
      <c r="BF24" s="26">
        <f>JanMonthlyReport12[[#This Row],[Basic Salary]]-JanMonthlyReport12[[#This Row],[Deduction]]</f>
        <v>9000</v>
      </c>
      <c r="BG24" s="21"/>
      <c r="BH24" s="43"/>
    </row>
    <row r="25" spans="1:60" x14ac:dyDescent="0.25">
      <c r="A25"/>
      <c r="B25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</row>
    <row r="26" spans="1:60" x14ac:dyDescent="0.25">
      <c r="A26"/>
      <c r="B26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</row>
    <row r="27" spans="1:60" x14ac:dyDescent="0.25">
      <c r="A27"/>
      <c r="B27"/>
    </row>
    <row r="28" spans="1:60" x14ac:dyDescent="0.25">
      <c r="A28"/>
      <c r="B28"/>
    </row>
    <row r="29" spans="1:60" x14ac:dyDescent="0.25">
      <c r="A29"/>
      <c r="B29"/>
    </row>
    <row r="30" spans="1:60" x14ac:dyDescent="0.25">
      <c r="A30"/>
      <c r="B30"/>
    </row>
    <row r="31" spans="1:60" x14ac:dyDescent="0.25">
      <c r="A31"/>
      <c r="B31"/>
    </row>
    <row r="32" spans="1:60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</sheetData>
  <mergeCells count="1">
    <mergeCell ref="F6:H6"/>
  </mergeCells>
  <conditionalFormatting sqref="AQ7 M8:M24 AA8:AA24 T8:T24 AH8:AH24">
    <cfRule type="containsText" dxfId="411" priority="10" operator="containsText" text="WO">
      <formula>NOT(ISERROR(SEARCH("WO",M7)))</formula>
    </cfRule>
  </conditionalFormatting>
  <conditionalFormatting sqref="G4 I8:I24 AA8:AA24 M8:M24 T8:T24 AH8:AH24">
    <cfRule type="containsText" dxfId="410" priority="9" operator="containsText" text="WO">
      <formula>NOT(ISERROR(SEARCH("WO",G4)))</formula>
    </cfRule>
  </conditionalFormatting>
  <conditionalFormatting sqref="M8:M24 AA8:AA24 T8:T24 AH8:AH24">
    <cfRule type="containsText" dxfId="407" priority="6" operator="containsText" text="L">
      <formula>NOT(ISERROR(SEARCH("L",M8)))</formula>
    </cfRule>
    <cfRule type="containsText" dxfId="408" priority="7" operator="containsText" text="A">
      <formula>NOT(ISERROR(SEARCH("A",M8)))</formula>
    </cfRule>
    <cfRule type="containsText" dxfId="409" priority="8" operator="containsText" text="P">
      <formula>NOT(ISERROR(SEARCH("P",M8)))</formula>
    </cfRule>
  </conditionalFormatting>
  <conditionalFormatting sqref="AI8:AN24 AB8:AG24 N8:S24 J8:L24 U8:Z24">
    <cfRule type="containsText" dxfId="24" priority="5" operator="containsText" text="WO">
      <formula>NOT(ISERROR(SEARCH("WO",J8)))</formula>
    </cfRule>
  </conditionalFormatting>
  <conditionalFormatting sqref="AI8:AN24 AB8:AG24 N8:S24 J8:L24 U8:Z24">
    <cfRule type="containsText" dxfId="23" priority="4" operator="containsText" text="WO">
      <formula>NOT(ISERROR(SEARCH("WO",J8)))</formula>
    </cfRule>
  </conditionalFormatting>
  <conditionalFormatting sqref="AI8:AN24 AB8:AG24 N8:S24 J8:L24 U8:Z24">
    <cfRule type="containsText" dxfId="22" priority="1" operator="containsText" text="L">
      <formula>NOT(ISERROR(SEARCH("L",J8)))</formula>
    </cfRule>
    <cfRule type="containsText" dxfId="21" priority="2" operator="containsText" text="A">
      <formula>NOT(ISERROR(SEARCH("A",J8)))</formula>
    </cfRule>
    <cfRule type="containsText" dxfId="20" priority="3" operator="containsText" text="P">
      <formula>NOT(ISERROR(SEARCH("P",J8)))</formula>
    </cfRule>
  </conditionalFormatting>
  <dataValidations count="1">
    <dataValidation type="list" allowBlank="1" showInputMessage="1" showErrorMessage="1" sqref="U8:Z24 J8:L24 N8:S24 AB8:AG24 AI8:AN24" xr:uid="{340DFF65-B2A8-4201-8528-A0FEC0B5A086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70B84F-7417-4E1C-B9B1-695536A1A042}">
          <x14:formula1>
            <xm:f>Rough!$A$1:$A$12</xm:f>
          </x14:formula1>
          <xm:sqref>G4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CA9769FD-2039-4BB4-832B-4F79788FBF45}">
          <x14:colorSeries theme="7"/>
          <x14:colorNegative rgb="FFFF0000"/>
          <x14:colorAxis rgb="FF000000"/>
          <x14:colorMarkers rgb="FFD00000"/>
          <x14:colorFirst rgb="FFD00000"/>
          <x14:colorLast rgb="FFD00000"/>
          <x14:colorHigh rgb="FF2BF595"/>
          <x14:colorLow rgb="FFD00000"/>
          <x14:sparklines>
            <x14:sparkline>
              <xm:f>Oct!AW8:AY8</xm:f>
              <xm:sqref>BG8</xm:sqref>
            </x14:sparkline>
            <x14:sparkline>
              <xm:f>Oct!AW9:AY9</xm:f>
              <xm:sqref>BG9</xm:sqref>
            </x14:sparkline>
            <x14:sparkline>
              <xm:f>Oct!AW10:AY10</xm:f>
              <xm:sqref>BG10</xm:sqref>
            </x14:sparkline>
            <x14:sparkline>
              <xm:f>Oct!AW11:AY11</xm:f>
              <xm:sqref>BG11</xm:sqref>
            </x14:sparkline>
            <x14:sparkline>
              <xm:f>Oct!AW12:AY12</xm:f>
              <xm:sqref>BG12</xm:sqref>
            </x14:sparkline>
            <x14:sparkline>
              <xm:f>Oct!AW13:AY13</xm:f>
              <xm:sqref>BG13</xm:sqref>
            </x14:sparkline>
            <x14:sparkline>
              <xm:f>Oct!AW14:AY14</xm:f>
              <xm:sqref>BG14</xm:sqref>
            </x14:sparkline>
            <x14:sparkline>
              <xm:f>Oct!AW15:AY15</xm:f>
              <xm:sqref>BG15</xm:sqref>
            </x14:sparkline>
            <x14:sparkline>
              <xm:f>Oct!AW16:AY16</xm:f>
              <xm:sqref>BG16</xm:sqref>
            </x14:sparkline>
            <x14:sparkline>
              <xm:f>Oct!AW17:AY17</xm:f>
              <xm:sqref>BG17</xm:sqref>
            </x14:sparkline>
            <x14:sparkline>
              <xm:f>Oct!AW18:AY18</xm:f>
              <xm:sqref>BG18</xm:sqref>
            </x14:sparkline>
            <x14:sparkline>
              <xm:f>Oct!AW19:AY19</xm:f>
              <xm:sqref>BG19</xm:sqref>
            </x14:sparkline>
            <x14:sparkline>
              <xm:f>Oct!AW20:AY20</xm:f>
              <xm:sqref>BG20</xm:sqref>
            </x14:sparkline>
            <x14:sparkline>
              <xm:f>Oct!AW21:AY21</xm:f>
              <xm:sqref>BG21</xm:sqref>
            </x14:sparkline>
            <x14:sparkline>
              <xm:f>Oct!AW22:AY22</xm:f>
              <xm:sqref>BG22</xm:sqref>
            </x14:sparkline>
            <x14:sparkline>
              <xm:f>Oct!AW23:AY23</xm:f>
              <xm:sqref>BG23</xm:sqref>
            </x14:sparkline>
            <x14:sparkline>
              <xm:f>Oct!AW24:AY24</xm:f>
              <xm:sqref>BG24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4519-B7FB-4ABD-8E75-E1D067B51C3C}">
  <dimension ref="A1:BH36"/>
  <sheetViews>
    <sheetView topLeftCell="AL4" zoomScale="70" zoomScaleNormal="70" workbookViewId="0">
      <selection activeCell="BG8" sqref="BG8:BG24"/>
    </sheetView>
  </sheetViews>
  <sheetFormatPr defaultRowHeight="15" x14ac:dyDescent="0.25"/>
  <cols>
    <col min="1" max="5" width="9.140625" style="37"/>
    <col min="6" max="6" width="8.28515625" style="37" bestFit="1" customWidth="1"/>
    <col min="7" max="7" width="14.7109375" style="37" bestFit="1" customWidth="1"/>
    <col min="8" max="8" width="24" style="37" bestFit="1" customWidth="1"/>
    <col min="9" max="9" width="9.85546875" style="37" bestFit="1" customWidth="1"/>
    <col min="10" max="10" width="8.42578125" style="37" bestFit="1" customWidth="1"/>
    <col min="11" max="11" width="6.42578125" style="37" customWidth="1"/>
    <col min="12" max="12" width="5.85546875" style="37" bestFit="1" customWidth="1"/>
    <col min="13" max="13" width="6.42578125" style="37" bestFit="1" customWidth="1"/>
    <col min="14" max="14" width="6.5703125" style="37" bestFit="1" customWidth="1"/>
    <col min="15" max="15" width="6.140625" style="37" bestFit="1" customWidth="1"/>
    <col min="16" max="16" width="6.85546875" style="37" bestFit="1" customWidth="1"/>
    <col min="17" max="17" width="6.140625" style="37" bestFit="1" customWidth="1"/>
    <col min="18" max="18" width="4.7109375" style="37" bestFit="1" customWidth="1"/>
    <col min="19" max="19" width="5.85546875" style="37" bestFit="1" customWidth="1"/>
    <col min="20" max="20" width="6.42578125" style="37" bestFit="1" customWidth="1"/>
    <col min="21" max="21" width="6.5703125" style="37" bestFit="1" customWidth="1"/>
    <col min="22" max="22" width="6.140625" style="37" bestFit="1" customWidth="1"/>
    <col min="23" max="23" width="6.85546875" style="37" bestFit="1" customWidth="1"/>
    <col min="24" max="24" width="6.140625" style="37" bestFit="1" customWidth="1"/>
    <col min="25" max="25" width="4.7109375" style="37" bestFit="1" customWidth="1"/>
    <col min="26" max="26" width="5.85546875" style="37" bestFit="1" customWidth="1"/>
    <col min="27" max="27" width="6.42578125" style="37" bestFit="1" customWidth="1"/>
    <col min="28" max="28" width="6.5703125" style="37" bestFit="1" customWidth="1"/>
    <col min="29" max="29" width="6.140625" style="37" bestFit="1" customWidth="1"/>
    <col min="30" max="30" width="6.85546875" style="37" bestFit="1" customWidth="1"/>
    <col min="31" max="31" width="6.140625" style="37" bestFit="1" customWidth="1"/>
    <col min="32" max="32" width="4.7109375" style="37" bestFit="1" customWidth="1"/>
    <col min="33" max="33" width="5.85546875" style="37" bestFit="1" customWidth="1"/>
    <col min="34" max="34" width="6.42578125" style="37" bestFit="1" customWidth="1"/>
    <col min="35" max="35" width="6.5703125" style="37" bestFit="1" customWidth="1"/>
    <col min="36" max="36" width="6.140625" style="37" bestFit="1" customWidth="1"/>
    <col min="37" max="37" width="6.85546875" style="37" bestFit="1" customWidth="1"/>
    <col min="38" max="38" width="6.140625" style="37" bestFit="1" customWidth="1"/>
    <col min="39" max="39" width="4.5703125" style="37" bestFit="1" customWidth="1"/>
    <col min="40" max="40" width="5.7109375" style="37" bestFit="1" customWidth="1"/>
    <col min="41" max="45" width="9.140625" style="37"/>
    <col min="46" max="47" width="15.140625" style="37" customWidth="1"/>
    <col min="48" max="48" width="21.5703125" style="37" bestFit="1" customWidth="1"/>
    <col min="49" max="49" width="9.85546875" style="37" customWidth="1"/>
    <col min="50" max="50" width="9.28515625" style="37" customWidth="1"/>
    <col min="51" max="51" width="8.42578125" style="37" customWidth="1"/>
    <col min="52" max="52" width="11.85546875" style="37" customWidth="1"/>
    <col min="53" max="53" width="7.7109375" style="37" customWidth="1"/>
    <col min="54" max="54" width="12" style="37" customWidth="1"/>
    <col min="55" max="55" width="14" style="37" customWidth="1"/>
    <col min="56" max="56" width="16.28515625" style="37" customWidth="1"/>
    <col min="57" max="57" width="12.5703125" style="37" bestFit="1" customWidth="1"/>
    <col min="58" max="58" width="13.7109375" style="37" customWidth="1"/>
    <col min="59" max="59" width="16.7109375" style="37" customWidth="1"/>
    <col min="60" max="16384" width="9.140625" style="37"/>
  </cols>
  <sheetData>
    <row r="1" spans="1:6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6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60" x14ac:dyDescent="0.25">
      <c r="A3"/>
      <c r="B3"/>
    </row>
    <row r="4" spans="1:60" x14ac:dyDescent="0.25">
      <c r="A4"/>
      <c r="B4"/>
      <c r="E4" s="39"/>
      <c r="F4" s="39" t="s">
        <v>41</v>
      </c>
      <c r="G4" s="40">
        <v>46327</v>
      </c>
      <c r="H4" s="41">
        <f>DATEDIF($G$4,$K$4,"D")+1</f>
        <v>30</v>
      </c>
      <c r="I4" s="39" t="str">
        <f>TEXT(G4,"MMMM")</f>
        <v>November</v>
      </c>
      <c r="J4" s="39" t="s">
        <v>42</v>
      </c>
      <c r="K4" s="40">
        <f>EOMONTH(G4,0)</f>
        <v>46356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60" ht="15.75" thickBot="1" x14ac:dyDescent="0.3">
      <c r="A5"/>
      <c r="B5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</row>
    <row r="6" spans="1:60" x14ac:dyDescent="0.25">
      <c r="A6"/>
      <c r="B6"/>
      <c r="E6" s="39"/>
      <c r="F6" s="46" t="s">
        <v>44</v>
      </c>
      <c r="G6" s="47"/>
      <c r="H6" s="48"/>
      <c r="I6" s="27" t="s">
        <v>43</v>
      </c>
      <c r="J6" s="28" t="str">
        <f>TEXT(J7,"DDD")</f>
        <v>Sun</v>
      </c>
      <c r="K6" s="28" t="str">
        <f t="shared" ref="K6:AN6" si="0">TEXT(K7,"DDD")</f>
        <v>Mon</v>
      </c>
      <c r="L6" s="28" t="str">
        <f t="shared" si="0"/>
        <v>Tue</v>
      </c>
      <c r="M6" s="28" t="str">
        <f t="shared" si="0"/>
        <v>Wed</v>
      </c>
      <c r="N6" s="28" t="str">
        <f t="shared" si="0"/>
        <v>Thu</v>
      </c>
      <c r="O6" s="28" t="str">
        <f t="shared" si="0"/>
        <v>Fri</v>
      </c>
      <c r="P6" s="28" t="str">
        <f t="shared" si="0"/>
        <v>Sat</v>
      </c>
      <c r="Q6" s="28" t="str">
        <f t="shared" si="0"/>
        <v>Sun</v>
      </c>
      <c r="R6" s="28" t="str">
        <f t="shared" si="0"/>
        <v>Mon</v>
      </c>
      <c r="S6" s="28" t="str">
        <f t="shared" si="0"/>
        <v>Tue</v>
      </c>
      <c r="T6" s="28" t="str">
        <f t="shared" si="0"/>
        <v>Wed</v>
      </c>
      <c r="U6" s="28" t="str">
        <f t="shared" si="0"/>
        <v>Thu</v>
      </c>
      <c r="V6" s="28" t="str">
        <f t="shared" si="0"/>
        <v>Fri</v>
      </c>
      <c r="W6" s="28" t="str">
        <f t="shared" si="0"/>
        <v>Sat</v>
      </c>
      <c r="X6" s="28" t="str">
        <f t="shared" si="0"/>
        <v>Sun</v>
      </c>
      <c r="Y6" s="28" t="str">
        <f t="shared" si="0"/>
        <v>Mon</v>
      </c>
      <c r="Z6" s="28" t="str">
        <f t="shared" si="0"/>
        <v>Tue</v>
      </c>
      <c r="AA6" s="28" t="str">
        <f t="shared" si="0"/>
        <v>Wed</v>
      </c>
      <c r="AB6" s="28" t="str">
        <f t="shared" si="0"/>
        <v>Thu</v>
      </c>
      <c r="AC6" s="28" t="str">
        <f t="shared" si="0"/>
        <v>Fri</v>
      </c>
      <c r="AD6" s="28" t="str">
        <f t="shared" si="0"/>
        <v>Sat</v>
      </c>
      <c r="AE6" s="28" t="str">
        <f t="shared" si="0"/>
        <v>Sun</v>
      </c>
      <c r="AF6" s="28" t="str">
        <f t="shared" si="0"/>
        <v>Mon</v>
      </c>
      <c r="AG6" s="28" t="str">
        <f t="shared" si="0"/>
        <v>Tue</v>
      </c>
      <c r="AH6" s="28" t="str">
        <f t="shared" si="0"/>
        <v>Wed</v>
      </c>
      <c r="AI6" s="28" t="str">
        <f t="shared" si="0"/>
        <v>Thu</v>
      </c>
      <c r="AJ6" s="28" t="str">
        <f t="shared" si="0"/>
        <v>Fri</v>
      </c>
      <c r="AK6" s="28" t="str">
        <f t="shared" si="0"/>
        <v>Sat</v>
      </c>
      <c r="AL6" s="28" t="str">
        <f t="shared" si="0"/>
        <v>Sun</v>
      </c>
      <c r="AM6" s="28" t="str">
        <f t="shared" si="0"/>
        <v>Mon</v>
      </c>
      <c r="AN6" s="29" t="str">
        <f t="shared" si="0"/>
        <v/>
      </c>
      <c r="AO6" s="42" t="str">
        <f>IF(AN7 &lt; $K$4,AN7+1,"")</f>
        <v/>
      </c>
      <c r="AP6" s="38"/>
      <c r="AQ6" s="38"/>
      <c r="AR6" s="44"/>
      <c r="AS6" s="44"/>
      <c r="AT6" s="44"/>
      <c r="AU6" s="44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</row>
    <row r="7" spans="1:60" ht="15.75" thickBot="1" x14ac:dyDescent="0.3">
      <c r="A7"/>
      <c r="B7"/>
      <c r="E7" s="39"/>
      <c r="F7" s="30" t="s">
        <v>37</v>
      </c>
      <c r="G7" s="12" t="s">
        <v>38</v>
      </c>
      <c r="H7" s="13" t="s">
        <v>39</v>
      </c>
      <c r="I7" s="16" t="s">
        <v>40</v>
      </c>
      <c r="J7" s="17">
        <f>G4</f>
        <v>46327</v>
      </c>
      <c r="K7" s="17">
        <f t="shared" ref="K7:AN7" si="1">IF(J7 &lt; $K$4,J7+1,"")</f>
        <v>46328</v>
      </c>
      <c r="L7" s="17">
        <f t="shared" si="1"/>
        <v>46329</v>
      </c>
      <c r="M7" s="17">
        <f t="shared" si="1"/>
        <v>46330</v>
      </c>
      <c r="N7" s="17">
        <f t="shared" si="1"/>
        <v>46331</v>
      </c>
      <c r="O7" s="17">
        <f t="shared" si="1"/>
        <v>46332</v>
      </c>
      <c r="P7" s="17">
        <f t="shared" si="1"/>
        <v>46333</v>
      </c>
      <c r="Q7" s="17">
        <f t="shared" si="1"/>
        <v>46334</v>
      </c>
      <c r="R7" s="17">
        <f t="shared" si="1"/>
        <v>46335</v>
      </c>
      <c r="S7" s="17">
        <f t="shared" si="1"/>
        <v>46336</v>
      </c>
      <c r="T7" s="17">
        <f t="shared" si="1"/>
        <v>46337</v>
      </c>
      <c r="U7" s="17">
        <f t="shared" si="1"/>
        <v>46338</v>
      </c>
      <c r="V7" s="17">
        <f t="shared" si="1"/>
        <v>46339</v>
      </c>
      <c r="W7" s="17">
        <f t="shared" si="1"/>
        <v>46340</v>
      </c>
      <c r="X7" s="17">
        <f t="shared" si="1"/>
        <v>46341</v>
      </c>
      <c r="Y7" s="17">
        <f t="shared" si="1"/>
        <v>46342</v>
      </c>
      <c r="Z7" s="17">
        <f t="shared" si="1"/>
        <v>46343</v>
      </c>
      <c r="AA7" s="17">
        <f t="shared" si="1"/>
        <v>46344</v>
      </c>
      <c r="AB7" s="17">
        <f t="shared" si="1"/>
        <v>46345</v>
      </c>
      <c r="AC7" s="17">
        <f t="shared" si="1"/>
        <v>46346</v>
      </c>
      <c r="AD7" s="17">
        <f t="shared" si="1"/>
        <v>46347</v>
      </c>
      <c r="AE7" s="17">
        <f t="shared" si="1"/>
        <v>46348</v>
      </c>
      <c r="AF7" s="17">
        <f t="shared" si="1"/>
        <v>46349</v>
      </c>
      <c r="AG7" s="17">
        <f t="shared" si="1"/>
        <v>46350</v>
      </c>
      <c r="AH7" s="17">
        <f t="shared" si="1"/>
        <v>46351</v>
      </c>
      <c r="AI7" s="17">
        <f t="shared" si="1"/>
        <v>46352</v>
      </c>
      <c r="AJ7" s="17">
        <f t="shared" si="1"/>
        <v>46353</v>
      </c>
      <c r="AK7" s="17">
        <f t="shared" si="1"/>
        <v>46354</v>
      </c>
      <c r="AL7" s="17">
        <f t="shared" si="1"/>
        <v>46355</v>
      </c>
      <c r="AM7" s="17">
        <f t="shared" si="1"/>
        <v>46356</v>
      </c>
      <c r="AN7" s="31" t="str">
        <f t="shared" si="1"/>
        <v/>
      </c>
      <c r="AO7" s="39"/>
      <c r="AR7" s="43"/>
      <c r="AS7" s="18" t="s">
        <v>37</v>
      </c>
      <c r="AT7" s="18" t="s">
        <v>38</v>
      </c>
      <c r="AU7" s="18" t="s">
        <v>56</v>
      </c>
      <c r="AV7" s="19" t="s">
        <v>39</v>
      </c>
      <c r="AW7" s="18" t="s">
        <v>45</v>
      </c>
      <c r="AX7" s="18" t="s">
        <v>46</v>
      </c>
      <c r="AY7" s="18" t="s">
        <v>47</v>
      </c>
      <c r="AZ7" s="18" t="s">
        <v>48</v>
      </c>
      <c r="BA7" s="18" t="s">
        <v>49</v>
      </c>
      <c r="BB7" s="18" t="s">
        <v>50</v>
      </c>
      <c r="BC7" s="18" t="s">
        <v>51</v>
      </c>
      <c r="BD7" s="18" t="s">
        <v>52</v>
      </c>
      <c r="BE7" s="18" t="s">
        <v>53</v>
      </c>
      <c r="BF7" s="20" t="s">
        <v>54</v>
      </c>
      <c r="BG7" s="18" t="s">
        <v>55</v>
      </c>
      <c r="BH7" s="43"/>
    </row>
    <row r="8" spans="1:60" x14ac:dyDescent="0.25">
      <c r="A8"/>
      <c r="B8"/>
      <c r="E8" s="39"/>
      <c r="F8" s="24">
        <v>1</v>
      </c>
      <c r="G8" s="14" t="s">
        <v>20</v>
      </c>
      <c r="H8" s="10" t="s">
        <v>3</v>
      </c>
      <c r="I8" s="15">
        <f>COUNTIF($J$6:$AN$6,"sun")</f>
        <v>5</v>
      </c>
      <c r="J8" s="14" t="str">
        <f>IF(J$6 = "sun","WO","")</f>
        <v>WO</v>
      </c>
      <c r="K8" s="14" t="s">
        <v>57</v>
      </c>
      <c r="L8" s="14" t="s">
        <v>57</v>
      </c>
      <c r="M8" s="14" t="s">
        <v>57</v>
      </c>
      <c r="N8" s="14" t="s">
        <v>57</v>
      </c>
      <c r="O8" s="14" t="s">
        <v>57</v>
      </c>
      <c r="P8" s="14" t="s">
        <v>57</v>
      </c>
      <c r="Q8" s="14" t="str">
        <f t="shared" ref="K8:AN16" si="2">IF(Q$6 = "sun","WO","")</f>
        <v>WO</v>
      </c>
      <c r="R8" s="14" t="s">
        <v>57</v>
      </c>
      <c r="S8" s="14" t="s">
        <v>57</v>
      </c>
      <c r="T8" s="14" t="s">
        <v>57</v>
      </c>
      <c r="U8" s="14" t="s">
        <v>57</v>
      </c>
      <c r="V8" s="14" t="s">
        <v>57</v>
      </c>
      <c r="W8" s="14" t="s">
        <v>57</v>
      </c>
      <c r="X8" s="14" t="str">
        <f t="shared" si="2"/>
        <v>WO</v>
      </c>
      <c r="Y8" s="14" t="s">
        <v>57</v>
      </c>
      <c r="Z8" s="14" t="s">
        <v>57</v>
      </c>
      <c r="AA8" s="14" t="s">
        <v>57</v>
      </c>
      <c r="AB8" s="14" t="s">
        <v>57</v>
      </c>
      <c r="AC8" s="14" t="s">
        <v>57</v>
      </c>
      <c r="AD8" s="14" t="s">
        <v>57</v>
      </c>
      <c r="AE8" s="14" t="str">
        <f t="shared" si="2"/>
        <v>WO</v>
      </c>
      <c r="AF8" s="14" t="s">
        <v>57</v>
      </c>
      <c r="AG8" s="14" t="s">
        <v>57</v>
      </c>
      <c r="AH8" s="14" t="s">
        <v>57</v>
      </c>
      <c r="AI8" s="14" t="s">
        <v>57</v>
      </c>
      <c r="AJ8" s="14" t="s">
        <v>57</v>
      </c>
      <c r="AK8" s="14" t="s">
        <v>57</v>
      </c>
      <c r="AL8" s="14" t="str">
        <f t="shared" si="2"/>
        <v>WO</v>
      </c>
      <c r="AM8" s="14" t="s">
        <v>58</v>
      </c>
      <c r="AN8" s="14"/>
      <c r="AO8" s="39"/>
      <c r="AR8" s="43"/>
      <c r="AS8" s="22">
        <v>1</v>
      </c>
      <c r="AT8" s="14" t="s">
        <v>20</v>
      </c>
      <c r="AU8" s="14" t="str">
        <f t="shared" ref="AU8:AU24" si="3">$I$4</f>
        <v>November</v>
      </c>
      <c r="AV8" s="10" t="s">
        <v>3</v>
      </c>
      <c r="AW8" s="22">
        <f t="shared" ref="AW8:AW24" si="4">COUNTIF($J8:$AN8,"P")</f>
        <v>24</v>
      </c>
      <c r="AX8" s="22">
        <f t="shared" ref="AX8:AX24" si="5">COUNTIF($J8:$AN8,"A")</f>
        <v>0</v>
      </c>
      <c r="AY8" s="22">
        <f t="shared" ref="AY8:AY24" si="6">COUNTIF($J8:$AN8,"L")</f>
        <v>1</v>
      </c>
      <c r="AZ8" s="22">
        <f t="shared" ref="AZ8:AZ24" si="7">$I$8</f>
        <v>5</v>
      </c>
      <c r="BA8" s="22">
        <f t="shared" ref="BA8:BA24" si="8">$H$4</f>
        <v>30</v>
      </c>
      <c r="BB8" s="22">
        <f>JanMonthlyReport13[[#This Row],[Days]]-JanMonthlyReport13[[#This Row],[Absent]]</f>
        <v>30</v>
      </c>
      <c r="BC8" s="23">
        <v>100000</v>
      </c>
      <c r="BD8" s="23">
        <f>JanMonthlyReport13[[#This Row],[Basic Salary]]/JanMonthlyReport13[[#This Row],[Days]]</f>
        <v>3333.3333333333335</v>
      </c>
      <c r="BE8" s="23">
        <f>JanMonthlyReport13[[#This Row],[Per Day Salary]]*JanMonthlyReport13[[#This Row],[Absent]]</f>
        <v>0</v>
      </c>
      <c r="BF8" s="26">
        <f>JanMonthlyReport13[[#This Row],[Basic Salary]]-JanMonthlyReport13[[#This Row],[Deduction]]</f>
        <v>100000</v>
      </c>
      <c r="BG8" s="21"/>
      <c r="BH8" s="43"/>
    </row>
    <row r="9" spans="1:60" x14ac:dyDescent="0.25">
      <c r="A9"/>
      <c r="B9"/>
      <c r="E9" s="39"/>
      <c r="F9" s="24">
        <v>2</v>
      </c>
      <c r="G9" s="14" t="s">
        <v>21</v>
      </c>
      <c r="H9" s="10" t="s">
        <v>4</v>
      </c>
      <c r="I9" s="15">
        <f t="shared" ref="I9:I24" si="9">COUNTIF($J$6:$AN$6,"sun")</f>
        <v>5</v>
      </c>
      <c r="J9" s="14" t="str">
        <f t="shared" ref="J9:Y24" si="10">IF(J$6 = "sun","WO","")</f>
        <v>WO</v>
      </c>
      <c r="K9" s="14" t="s">
        <v>57</v>
      </c>
      <c r="L9" s="14" t="s">
        <v>57</v>
      </c>
      <c r="M9" s="14" t="s">
        <v>57</v>
      </c>
      <c r="N9" s="14" t="s">
        <v>57</v>
      </c>
      <c r="O9" s="14" t="s">
        <v>57</v>
      </c>
      <c r="P9" s="14" t="s">
        <v>57</v>
      </c>
      <c r="Q9" s="14" t="str">
        <f t="shared" si="2"/>
        <v>WO</v>
      </c>
      <c r="R9" s="14" t="s">
        <v>57</v>
      </c>
      <c r="S9" s="14" t="s">
        <v>57</v>
      </c>
      <c r="T9" s="14" t="s">
        <v>57</v>
      </c>
      <c r="U9" s="14" t="s">
        <v>57</v>
      </c>
      <c r="V9" s="14" t="s">
        <v>57</v>
      </c>
      <c r="W9" s="14" t="s">
        <v>57</v>
      </c>
      <c r="X9" s="14" t="str">
        <f t="shared" si="2"/>
        <v>WO</v>
      </c>
      <c r="Y9" s="14" t="s">
        <v>57</v>
      </c>
      <c r="Z9" s="14" t="s">
        <v>57</v>
      </c>
      <c r="AA9" s="14" t="s">
        <v>57</v>
      </c>
      <c r="AB9" s="14" t="s">
        <v>57</v>
      </c>
      <c r="AC9" s="14" t="s">
        <v>57</v>
      </c>
      <c r="AD9" s="14" t="s">
        <v>57</v>
      </c>
      <c r="AE9" s="14" t="str">
        <f t="shared" si="2"/>
        <v>WO</v>
      </c>
      <c r="AF9" s="14" t="s">
        <v>57</v>
      </c>
      <c r="AG9" s="14" t="s">
        <v>57</v>
      </c>
      <c r="AH9" s="14" t="s">
        <v>57</v>
      </c>
      <c r="AI9" s="14" t="s">
        <v>57</v>
      </c>
      <c r="AJ9" s="14" t="s">
        <v>57</v>
      </c>
      <c r="AK9" s="14" t="s">
        <v>57</v>
      </c>
      <c r="AL9" s="14" t="str">
        <f t="shared" si="2"/>
        <v>WO</v>
      </c>
      <c r="AM9" s="14" t="s">
        <v>58</v>
      </c>
      <c r="AN9" s="14"/>
      <c r="AO9" s="39"/>
      <c r="AR9" s="43"/>
      <c r="AS9" s="22">
        <v>2</v>
      </c>
      <c r="AT9" s="14" t="s">
        <v>21</v>
      </c>
      <c r="AU9" s="14" t="str">
        <f t="shared" si="3"/>
        <v>November</v>
      </c>
      <c r="AV9" s="10" t="s">
        <v>4</v>
      </c>
      <c r="AW9" s="22">
        <f t="shared" si="4"/>
        <v>24</v>
      </c>
      <c r="AX9" s="22">
        <f t="shared" si="5"/>
        <v>0</v>
      </c>
      <c r="AY9" s="22">
        <f t="shared" si="6"/>
        <v>1</v>
      </c>
      <c r="AZ9" s="22">
        <f t="shared" si="7"/>
        <v>5</v>
      </c>
      <c r="BA9" s="22">
        <f t="shared" si="8"/>
        <v>30</v>
      </c>
      <c r="BB9" s="22">
        <f>JanMonthlyReport13[[#This Row],[Days]]-JanMonthlyReport13[[#This Row],[Absent]]</f>
        <v>30</v>
      </c>
      <c r="BC9" s="23">
        <v>70000</v>
      </c>
      <c r="BD9" s="23">
        <f>JanMonthlyReport13[[#This Row],[Basic Salary]]/JanMonthlyReport13[[#This Row],[Days]]</f>
        <v>2333.3333333333335</v>
      </c>
      <c r="BE9" s="23">
        <f>JanMonthlyReport13[[#This Row],[Per Day Salary]]*JanMonthlyReport13[[#This Row],[Absent]]</f>
        <v>0</v>
      </c>
      <c r="BF9" s="26">
        <f>JanMonthlyReport13[[#This Row],[Basic Salary]]-JanMonthlyReport13[[#This Row],[Deduction]]</f>
        <v>70000</v>
      </c>
      <c r="BG9" s="21"/>
      <c r="BH9" s="43"/>
    </row>
    <row r="10" spans="1:60" x14ac:dyDescent="0.25">
      <c r="A10"/>
      <c r="B10"/>
      <c r="E10" s="39"/>
      <c r="F10" s="24">
        <v>3</v>
      </c>
      <c r="G10" s="14" t="s">
        <v>22</v>
      </c>
      <c r="H10" s="10" t="s">
        <v>5</v>
      </c>
      <c r="I10" s="15">
        <f t="shared" si="9"/>
        <v>5</v>
      </c>
      <c r="J10" s="14" t="str">
        <f t="shared" si="10"/>
        <v>WO</v>
      </c>
      <c r="K10" s="14" t="s">
        <v>57</v>
      </c>
      <c r="L10" s="14" t="s">
        <v>57</v>
      </c>
      <c r="M10" s="14" t="s">
        <v>57</v>
      </c>
      <c r="N10" s="14" t="s">
        <v>57</v>
      </c>
      <c r="O10" s="14" t="s">
        <v>57</v>
      </c>
      <c r="P10" s="14" t="s">
        <v>57</v>
      </c>
      <c r="Q10" s="14" t="str">
        <f t="shared" si="2"/>
        <v>WO</v>
      </c>
      <c r="R10" s="14" t="s">
        <v>57</v>
      </c>
      <c r="S10" s="14" t="s">
        <v>57</v>
      </c>
      <c r="T10" s="14" t="s">
        <v>59</v>
      </c>
      <c r="U10" s="14" t="s">
        <v>57</v>
      </c>
      <c r="V10" s="14" t="s">
        <v>57</v>
      </c>
      <c r="W10" s="14" t="s">
        <v>57</v>
      </c>
      <c r="X10" s="14" t="str">
        <f t="shared" si="2"/>
        <v>WO</v>
      </c>
      <c r="Y10" s="14" t="s">
        <v>57</v>
      </c>
      <c r="Z10" s="14" t="s">
        <v>57</v>
      </c>
      <c r="AA10" s="14" t="s">
        <v>57</v>
      </c>
      <c r="AB10" s="14" t="s">
        <v>57</v>
      </c>
      <c r="AC10" s="14" t="s">
        <v>57</v>
      </c>
      <c r="AD10" s="14" t="s">
        <v>57</v>
      </c>
      <c r="AE10" s="14" t="str">
        <f t="shared" si="2"/>
        <v>WO</v>
      </c>
      <c r="AF10" s="14" t="s">
        <v>57</v>
      </c>
      <c r="AG10" s="14" t="s">
        <v>57</v>
      </c>
      <c r="AH10" s="14" t="s">
        <v>57</v>
      </c>
      <c r="AI10" s="14" t="s">
        <v>57</v>
      </c>
      <c r="AJ10" s="14" t="s">
        <v>57</v>
      </c>
      <c r="AK10" s="14" t="s">
        <v>57</v>
      </c>
      <c r="AL10" s="14" t="str">
        <f t="shared" si="2"/>
        <v>WO</v>
      </c>
      <c r="AM10" s="14" t="s">
        <v>58</v>
      </c>
      <c r="AN10" s="14"/>
      <c r="AO10" s="39"/>
      <c r="AR10" s="43"/>
      <c r="AS10" s="22">
        <v>3</v>
      </c>
      <c r="AT10" s="14" t="s">
        <v>22</v>
      </c>
      <c r="AU10" s="14" t="str">
        <f t="shared" si="3"/>
        <v>November</v>
      </c>
      <c r="AV10" s="10" t="s">
        <v>5</v>
      </c>
      <c r="AW10" s="22">
        <f t="shared" si="4"/>
        <v>23</v>
      </c>
      <c r="AX10" s="22">
        <f t="shared" si="5"/>
        <v>1</v>
      </c>
      <c r="AY10" s="22">
        <f t="shared" si="6"/>
        <v>1</v>
      </c>
      <c r="AZ10" s="22">
        <f t="shared" si="7"/>
        <v>5</v>
      </c>
      <c r="BA10" s="22">
        <f t="shared" si="8"/>
        <v>30</v>
      </c>
      <c r="BB10" s="22">
        <f>JanMonthlyReport13[[#This Row],[Days]]-JanMonthlyReport13[[#This Row],[Absent]]</f>
        <v>29</v>
      </c>
      <c r="BC10" s="23">
        <v>80000</v>
      </c>
      <c r="BD10" s="23">
        <f>JanMonthlyReport13[[#This Row],[Basic Salary]]/JanMonthlyReport13[[#This Row],[Days]]</f>
        <v>2666.6666666666665</v>
      </c>
      <c r="BE10" s="23">
        <f>JanMonthlyReport13[[#This Row],[Per Day Salary]]*JanMonthlyReport13[[#This Row],[Absent]]</f>
        <v>2666.6666666666665</v>
      </c>
      <c r="BF10" s="26">
        <f>JanMonthlyReport13[[#This Row],[Basic Salary]]-JanMonthlyReport13[[#This Row],[Deduction]]</f>
        <v>77333.333333333328</v>
      </c>
      <c r="BG10" s="21"/>
      <c r="BH10" s="43"/>
    </row>
    <row r="11" spans="1:60" x14ac:dyDescent="0.25">
      <c r="A11"/>
      <c r="B11"/>
      <c r="E11" s="39"/>
      <c r="F11" s="24">
        <v>4</v>
      </c>
      <c r="G11" s="14" t="s">
        <v>23</v>
      </c>
      <c r="H11" s="10" t="s">
        <v>6</v>
      </c>
      <c r="I11" s="15">
        <f t="shared" si="9"/>
        <v>5</v>
      </c>
      <c r="J11" s="14" t="str">
        <f t="shared" si="10"/>
        <v>WO</v>
      </c>
      <c r="K11" s="14" t="s">
        <v>57</v>
      </c>
      <c r="L11" s="14" t="s">
        <v>57</v>
      </c>
      <c r="M11" s="14" t="s">
        <v>57</v>
      </c>
      <c r="N11" s="14" t="s">
        <v>57</v>
      </c>
      <c r="O11" s="14" t="s">
        <v>57</v>
      </c>
      <c r="P11" s="14" t="s">
        <v>57</v>
      </c>
      <c r="Q11" s="14" t="str">
        <f t="shared" si="2"/>
        <v>WO</v>
      </c>
      <c r="R11" s="14" t="s">
        <v>57</v>
      </c>
      <c r="S11" s="14" t="s">
        <v>57</v>
      </c>
      <c r="T11" s="14" t="s">
        <v>57</v>
      </c>
      <c r="U11" s="14" t="s">
        <v>57</v>
      </c>
      <c r="V11" s="14" t="s">
        <v>57</v>
      </c>
      <c r="W11" s="14" t="s">
        <v>57</v>
      </c>
      <c r="X11" s="14" t="str">
        <f t="shared" si="2"/>
        <v>WO</v>
      </c>
      <c r="Y11" s="14" t="s">
        <v>57</v>
      </c>
      <c r="Z11" s="14" t="s">
        <v>57</v>
      </c>
      <c r="AA11" s="14" t="s">
        <v>57</v>
      </c>
      <c r="AB11" s="14" t="s">
        <v>57</v>
      </c>
      <c r="AC11" s="14" t="s">
        <v>57</v>
      </c>
      <c r="AD11" s="14" t="s">
        <v>57</v>
      </c>
      <c r="AE11" s="14" t="str">
        <f t="shared" si="2"/>
        <v>WO</v>
      </c>
      <c r="AF11" s="14" t="s">
        <v>57</v>
      </c>
      <c r="AG11" s="14" t="s">
        <v>57</v>
      </c>
      <c r="AH11" s="14" t="s">
        <v>57</v>
      </c>
      <c r="AI11" s="14" t="s">
        <v>57</v>
      </c>
      <c r="AJ11" s="14" t="s">
        <v>57</v>
      </c>
      <c r="AK11" s="14" t="s">
        <v>57</v>
      </c>
      <c r="AL11" s="14" t="str">
        <f t="shared" si="2"/>
        <v>WO</v>
      </c>
      <c r="AM11" s="14" t="s">
        <v>58</v>
      </c>
      <c r="AN11" s="14"/>
      <c r="AO11" s="39"/>
      <c r="AR11" s="43"/>
      <c r="AS11" s="22">
        <v>4</v>
      </c>
      <c r="AT11" s="14" t="s">
        <v>23</v>
      </c>
      <c r="AU11" s="14" t="str">
        <f t="shared" si="3"/>
        <v>November</v>
      </c>
      <c r="AV11" s="10" t="s">
        <v>6</v>
      </c>
      <c r="AW11" s="22">
        <f t="shared" si="4"/>
        <v>24</v>
      </c>
      <c r="AX11" s="22">
        <f t="shared" si="5"/>
        <v>0</v>
      </c>
      <c r="AY11" s="22">
        <f t="shared" si="6"/>
        <v>1</v>
      </c>
      <c r="AZ11" s="22">
        <f t="shared" si="7"/>
        <v>5</v>
      </c>
      <c r="BA11" s="22">
        <f t="shared" si="8"/>
        <v>30</v>
      </c>
      <c r="BB11" s="22">
        <f>JanMonthlyReport13[[#This Row],[Days]]-JanMonthlyReport13[[#This Row],[Absent]]</f>
        <v>30</v>
      </c>
      <c r="BC11" s="23">
        <v>75000</v>
      </c>
      <c r="BD11" s="23">
        <f>JanMonthlyReport13[[#This Row],[Basic Salary]]/JanMonthlyReport13[[#This Row],[Days]]</f>
        <v>2500</v>
      </c>
      <c r="BE11" s="23">
        <f>JanMonthlyReport13[[#This Row],[Per Day Salary]]*JanMonthlyReport13[[#This Row],[Absent]]</f>
        <v>0</v>
      </c>
      <c r="BF11" s="26">
        <f>JanMonthlyReport13[[#This Row],[Basic Salary]]-JanMonthlyReport13[[#This Row],[Deduction]]</f>
        <v>75000</v>
      </c>
      <c r="BG11" s="21"/>
      <c r="BH11" s="43"/>
    </row>
    <row r="12" spans="1:60" x14ac:dyDescent="0.25">
      <c r="A12"/>
      <c r="B12"/>
      <c r="E12" s="39"/>
      <c r="F12" s="24">
        <v>5</v>
      </c>
      <c r="G12" s="14" t="s">
        <v>24</v>
      </c>
      <c r="H12" s="10" t="s">
        <v>7</v>
      </c>
      <c r="I12" s="15">
        <f t="shared" si="9"/>
        <v>5</v>
      </c>
      <c r="J12" s="14" t="str">
        <f t="shared" si="10"/>
        <v>WO</v>
      </c>
      <c r="K12" s="14" t="s">
        <v>57</v>
      </c>
      <c r="L12" s="14" t="s">
        <v>57</v>
      </c>
      <c r="M12" s="14" t="s">
        <v>57</v>
      </c>
      <c r="N12" s="14" t="s">
        <v>57</v>
      </c>
      <c r="O12" s="14" t="s">
        <v>57</v>
      </c>
      <c r="P12" s="14" t="s">
        <v>57</v>
      </c>
      <c r="Q12" s="14" t="str">
        <f t="shared" si="2"/>
        <v>WO</v>
      </c>
      <c r="R12" s="14" t="s">
        <v>57</v>
      </c>
      <c r="S12" s="14" t="s">
        <v>57</v>
      </c>
      <c r="T12" s="14" t="s">
        <v>57</v>
      </c>
      <c r="U12" s="14" t="s">
        <v>57</v>
      </c>
      <c r="V12" s="14" t="s">
        <v>57</v>
      </c>
      <c r="W12" s="14" t="s">
        <v>57</v>
      </c>
      <c r="X12" s="14" t="str">
        <f t="shared" si="2"/>
        <v>WO</v>
      </c>
      <c r="Y12" s="14" t="s">
        <v>57</v>
      </c>
      <c r="Z12" s="14" t="s">
        <v>57</v>
      </c>
      <c r="AA12" s="14" t="s">
        <v>57</v>
      </c>
      <c r="AB12" s="14" t="s">
        <v>57</v>
      </c>
      <c r="AC12" s="14" t="s">
        <v>57</v>
      </c>
      <c r="AD12" s="14" t="s">
        <v>57</v>
      </c>
      <c r="AE12" s="14" t="str">
        <f t="shared" si="2"/>
        <v>WO</v>
      </c>
      <c r="AF12" s="14" t="s">
        <v>57</v>
      </c>
      <c r="AG12" s="14" t="s">
        <v>57</v>
      </c>
      <c r="AH12" s="14" t="s">
        <v>57</v>
      </c>
      <c r="AI12" s="14" t="s">
        <v>57</v>
      </c>
      <c r="AJ12" s="14" t="s">
        <v>57</v>
      </c>
      <c r="AK12" s="14" t="s">
        <v>57</v>
      </c>
      <c r="AL12" s="14" t="str">
        <f t="shared" si="2"/>
        <v>WO</v>
      </c>
      <c r="AM12" s="14" t="s">
        <v>58</v>
      </c>
      <c r="AN12" s="14"/>
      <c r="AO12" s="39"/>
      <c r="AR12" s="43"/>
      <c r="AS12" s="22">
        <v>5</v>
      </c>
      <c r="AT12" s="14" t="s">
        <v>24</v>
      </c>
      <c r="AU12" s="14" t="str">
        <f t="shared" si="3"/>
        <v>November</v>
      </c>
      <c r="AV12" s="10" t="s">
        <v>7</v>
      </c>
      <c r="AW12" s="22">
        <f t="shared" si="4"/>
        <v>24</v>
      </c>
      <c r="AX12" s="22">
        <f t="shared" si="5"/>
        <v>0</v>
      </c>
      <c r="AY12" s="22">
        <f t="shared" si="6"/>
        <v>1</v>
      </c>
      <c r="AZ12" s="22">
        <f t="shared" si="7"/>
        <v>5</v>
      </c>
      <c r="BA12" s="22">
        <f t="shared" si="8"/>
        <v>30</v>
      </c>
      <c r="BB12" s="22">
        <f>JanMonthlyReport13[[#This Row],[Days]]-JanMonthlyReport13[[#This Row],[Absent]]</f>
        <v>30</v>
      </c>
      <c r="BC12" s="23">
        <v>16000</v>
      </c>
      <c r="BD12" s="23">
        <f>JanMonthlyReport13[[#This Row],[Basic Salary]]/JanMonthlyReport13[[#This Row],[Days]]</f>
        <v>533.33333333333337</v>
      </c>
      <c r="BE12" s="23">
        <f>JanMonthlyReport13[[#This Row],[Per Day Salary]]*JanMonthlyReport13[[#This Row],[Absent]]</f>
        <v>0</v>
      </c>
      <c r="BF12" s="26">
        <f>JanMonthlyReport13[[#This Row],[Basic Salary]]-JanMonthlyReport13[[#This Row],[Deduction]]</f>
        <v>16000</v>
      </c>
      <c r="BG12" s="21"/>
      <c r="BH12" s="43"/>
    </row>
    <row r="13" spans="1:60" x14ac:dyDescent="0.25">
      <c r="A13"/>
      <c r="B13"/>
      <c r="E13" s="39"/>
      <c r="F13" s="24">
        <v>6</v>
      </c>
      <c r="G13" s="14" t="s">
        <v>25</v>
      </c>
      <c r="H13" s="10" t="s">
        <v>8</v>
      </c>
      <c r="I13" s="15">
        <f t="shared" si="9"/>
        <v>5</v>
      </c>
      <c r="J13" s="14" t="str">
        <f t="shared" si="10"/>
        <v>WO</v>
      </c>
      <c r="K13" s="14" t="s">
        <v>57</v>
      </c>
      <c r="L13" s="14" t="s">
        <v>57</v>
      </c>
      <c r="M13" s="14" t="s">
        <v>57</v>
      </c>
      <c r="N13" s="14" t="s">
        <v>57</v>
      </c>
      <c r="O13" s="14" t="s">
        <v>57</v>
      </c>
      <c r="P13" s="14" t="s">
        <v>57</v>
      </c>
      <c r="Q13" s="14" t="str">
        <f t="shared" si="2"/>
        <v>WO</v>
      </c>
      <c r="R13" s="14" t="s">
        <v>57</v>
      </c>
      <c r="S13" s="14" t="s">
        <v>57</v>
      </c>
      <c r="T13" s="14" t="s">
        <v>57</v>
      </c>
      <c r="U13" s="14" t="s">
        <v>57</v>
      </c>
      <c r="V13" s="14" t="s">
        <v>57</v>
      </c>
      <c r="W13" s="14" t="s">
        <v>57</v>
      </c>
      <c r="X13" s="14" t="str">
        <f t="shared" si="2"/>
        <v>WO</v>
      </c>
      <c r="Y13" s="14" t="s">
        <v>57</v>
      </c>
      <c r="Z13" s="14" t="s">
        <v>57</v>
      </c>
      <c r="AA13" s="14" t="s">
        <v>57</v>
      </c>
      <c r="AB13" s="14" t="s">
        <v>57</v>
      </c>
      <c r="AC13" s="14" t="s">
        <v>57</v>
      </c>
      <c r="AD13" s="14" t="s">
        <v>57</v>
      </c>
      <c r="AE13" s="14" t="str">
        <f t="shared" si="2"/>
        <v>WO</v>
      </c>
      <c r="AF13" s="14" t="s">
        <v>57</v>
      </c>
      <c r="AG13" s="14" t="s">
        <v>57</v>
      </c>
      <c r="AH13" s="14" t="s">
        <v>59</v>
      </c>
      <c r="AI13" s="14" t="s">
        <v>57</v>
      </c>
      <c r="AJ13" s="14" t="s">
        <v>57</v>
      </c>
      <c r="AK13" s="14" t="s">
        <v>57</v>
      </c>
      <c r="AL13" s="14" t="str">
        <f t="shared" si="2"/>
        <v>WO</v>
      </c>
      <c r="AM13" s="14" t="s">
        <v>58</v>
      </c>
      <c r="AN13" s="14"/>
      <c r="AO13" s="39"/>
      <c r="AR13" s="43"/>
      <c r="AS13" s="22">
        <v>6</v>
      </c>
      <c r="AT13" s="14" t="s">
        <v>25</v>
      </c>
      <c r="AU13" s="14" t="str">
        <f t="shared" si="3"/>
        <v>November</v>
      </c>
      <c r="AV13" s="10" t="s">
        <v>8</v>
      </c>
      <c r="AW13" s="22">
        <f t="shared" si="4"/>
        <v>23</v>
      </c>
      <c r="AX13" s="22">
        <f t="shared" si="5"/>
        <v>1</v>
      </c>
      <c r="AY13" s="22">
        <f t="shared" si="6"/>
        <v>1</v>
      </c>
      <c r="AZ13" s="22">
        <f t="shared" si="7"/>
        <v>5</v>
      </c>
      <c r="BA13" s="22">
        <f t="shared" si="8"/>
        <v>30</v>
      </c>
      <c r="BB13" s="22">
        <f>JanMonthlyReport13[[#This Row],[Days]]-JanMonthlyReport13[[#This Row],[Absent]]</f>
        <v>29</v>
      </c>
      <c r="BC13" s="23">
        <v>12000</v>
      </c>
      <c r="BD13" s="23">
        <f>JanMonthlyReport13[[#This Row],[Basic Salary]]/JanMonthlyReport13[[#This Row],[Days]]</f>
        <v>400</v>
      </c>
      <c r="BE13" s="23">
        <f>JanMonthlyReport13[[#This Row],[Per Day Salary]]*JanMonthlyReport13[[#This Row],[Absent]]</f>
        <v>400</v>
      </c>
      <c r="BF13" s="26">
        <f>JanMonthlyReport13[[#This Row],[Basic Salary]]-JanMonthlyReport13[[#This Row],[Deduction]]</f>
        <v>11600</v>
      </c>
      <c r="BG13" s="21"/>
      <c r="BH13" s="43"/>
    </row>
    <row r="14" spans="1:60" x14ac:dyDescent="0.25">
      <c r="A14"/>
      <c r="B14"/>
      <c r="E14" s="39"/>
      <c r="F14" s="24">
        <v>7</v>
      </c>
      <c r="G14" s="14" t="s">
        <v>26</v>
      </c>
      <c r="H14" s="10" t="s">
        <v>9</v>
      </c>
      <c r="I14" s="15">
        <f t="shared" si="9"/>
        <v>5</v>
      </c>
      <c r="J14" s="14" t="str">
        <f t="shared" si="10"/>
        <v>WO</v>
      </c>
      <c r="K14" s="14" t="s">
        <v>57</v>
      </c>
      <c r="L14" s="14" t="s">
        <v>59</v>
      </c>
      <c r="M14" s="14" t="s">
        <v>57</v>
      </c>
      <c r="N14" s="14" t="s">
        <v>57</v>
      </c>
      <c r="O14" s="14" t="s">
        <v>57</v>
      </c>
      <c r="P14" s="14" t="s">
        <v>57</v>
      </c>
      <c r="Q14" s="14" t="str">
        <f t="shared" si="2"/>
        <v>WO</v>
      </c>
      <c r="R14" s="14" t="s">
        <v>57</v>
      </c>
      <c r="S14" s="14" t="s">
        <v>57</v>
      </c>
      <c r="T14" s="14" t="s">
        <v>57</v>
      </c>
      <c r="U14" s="14" t="s">
        <v>57</v>
      </c>
      <c r="V14" s="14" t="s">
        <v>57</v>
      </c>
      <c r="W14" s="14" t="s">
        <v>57</v>
      </c>
      <c r="X14" s="14" t="str">
        <f t="shared" si="2"/>
        <v>WO</v>
      </c>
      <c r="Y14" s="14" t="s">
        <v>57</v>
      </c>
      <c r="Z14" s="14" t="s">
        <v>57</v>
      </c>
      <c r="AA14" s="14" t="s">
        <v>57</v>
      </c>
      <c r="AB14" s="14" t="s">
        <v>57</v>
      </c>
      <c r="AC14" s="14" t="s">
        <v>57</v>
      </c>
      <c r="AD14" s="14" t="s">
        <v>57</v>
      </c>
      <c r="AE14" s="14" t="str">
        <f t="shared" si="2"/>
        <v>WO</v>
      </c>
      <c r="AF14" s="14" t="s">
        <v>57</v>
      </c>
      <c r="AG14" s="14" t="s">
        <v>57</v>
      </c>
      <c r="AH14" s="14" t="s">
        <v>57</v>
      </c>
      <c r="AI14" s="14" t="s">
        <v>57</v>
      </c>
      <c r="AJ14" s="14" t="s">
        <v>57</v>
      </c>
      <c r="AK14" s="14" t="s">
        <v>57</v>
      </c>
      <c r="AL14" s="14" t="str">
        <f t="shared" si="2"/>
        <v>WO</v>
      </c>
      <c r="AM14" s="14" t="s">
        <v>58</v>
      </c>
      <c r="AN14" s="14"/>
      <c r="AO14" s="39"/>
      <c r="AR14" s="43"/>
      <c r="AS14" s="22">
        <v>7</v>
      </c>
      <c r="AT14" s="14" t="s">
        <v>26</v>
      </c>
      <c r="AU14" s="14" t="str">
        <f t="shared" si="3"/>
        <v>November</v>
      </c>
      <c r="AV14" s="10" t="s">
        <v>9</v>
      </c>
      <c r="AW14" s="22">
        <f t="shared" si="4"/>
        <v>23</v>
      </c>
      <c r="AX14" s="22">
        <f t="shared" si="5"/>
        <v>1</v>
      </c>
      <c r="AY14" s="22">
        <f t="shared" si="6"/>
        <v>1</v>
      </c>
      <c r="AZ14" s="22">
        <f t="shared" si="7"/>
        <v>5</v>
      </c>
      <c r="BA14" s="22">
        <f t="shared" si="8"/>
        <v>30</v>
      </c>
      <c r="BB14" s="22">
        <f>JanMonthlyReport13[[#This Row],[Days]]-JanMonthlyReport13[[#This Row],[Absent]]</f>
        <v>29</v>
      </c>
      <c r="BC14" s="23">
        <v>13000</v>
      </c>
      <c r="BD14" s="23">
        <f>JanMonthlyReport13[[#This Row],[Basic Salary]]/JanMonthlyReport13[[#This Row],[Days]]</f>
        <v>433.33333333333331</v>
      </c>
      <c r="BE14" s="23">
        <f>JanMonthlyReport13[[#This Row],[Per Day Salary]]*JanMonthlyReport13[[#This Row],[Absent]]</f>
        <v>433.33333333333331</v>
      </c>
      <c r="BF14" s="26">
        <f>JanMonthlyReport13[[#This Row],[Basic Salary]]-JanMonthlyReport13[[#This Row],[Deduction]]</f>
        <v>12566.666666666666</v>
      </c>
      <c r="BG14" s="21"/>
      <c r="BH14" s="43"/>
    </row>
    <row r="15" spans="1:60" x14ac:dyDescent="0.25">
      <c r="A15"/>
      <c r="B15"/>
      <c r="E15" s="39"/>
      <c r="F15" s="24">
        <v>8</v>
      </c>
      <c r="G15" s="14" t="s">
        <v>27</v>
      </c>
      <c r="H15" s="10" t="s">
        <v>11</v>
      </c>
      <c r="I15" s="15">
        <f t="shared" si="9"/>
        <v>5</v>
      </c>
      <c r="J15" s="14" t="str">
        <f t="shared" si="10"/>
        <v>WO</v>
      </c>
      <c r="K15" s="14" t="s">
        <v>57</v>
      </c>
      <c r="L15" s="14" t="s">
        <v>57</v>
      </c>
      <c r="M15" s="14" t="s">
        <v>57</v>
      </c>
      <c r="N15" s="14" t="s">
        <v>57</v>
      </c>
      <c r="O15" s="14" t="s">
        <v>57</v>
      </c>
      <c r="P15" s="14" t="s">
        <v>57</v>
      </c>
      <c r="Q15" s="14" t="str">
        <f t="shared" si="2"/>
        <v>WO</v>
      </c>
      <c r="R15" s="14" t="s">
        <v>57</v>
      </c>
      <c r="S15" s="14" t="s">
        <v>57</v>
      </c>
      <c r="T15" s="14" t="s">
        <v>57</v>
      </c>
      <c r="U15" s="14" t="s">
        <v>57</v>
      </c>
      <c r="V15" s="14" t="s">
        <v>57</v>
      </c>
      <c r="W15" s="14" t="s">
        <v>57</v>
      </c>
      <c r="X15" s="14" t="str">
        <f t="shared" si="2"/>
        <v>WO</v>
      </c>
      <c r="Y15" s="14" t="s">
        <v>57</v>
      </c>
      <c r="Z15" s="14" t="s">
        <v>57</v>
      </c>
      <c r="AA15" s="14" t="s">
        <v>57</v>
      </c>
      <c r="AB15" s="14" t="s">
        <v>57</v>
      </c>
      <c r="AC15" s="14" t="s">
        <v>57</v>
      </c>
      <c r="AD15" s="14" t="s">
        <v>57</v>
      </c>
      <c r="AE15" s="14" t="str">
        <f t="shared" si="2"/>
        <v>WO</v>
      </c>
      <c r="AF15" s="14" t="s">
        <v>57</v>
      </c>
      <c r="AG15" s="14" t="s">
        <v>57</v>
      </c>
      <c r="AH15" s="14" t="s">
        <v>57</v>
      </c>
      <c r="AI15" s="14" t="s">
        <v>57</v>
      </c>
      <c r="AJ15" s="14" t="s">
        <v>57</v>
      </c>
      <c r="AK15" s="14" t="s">
        <v>57</v>
      </c>
      <c r="AL15" s="14" t="str">
        <f t="shared" si="2"/>
        <v>WO</v>
      </c>
      <c r="AM15" s="14" t="s">
        <v>58</v>
      </c>
      <c r="AN15" s="14"/>
      <c r="AO15" s="39"/>
      <c r="AR15" s="43"/>
      <c r="AS15" s="22">
        <v>8</v>
      </c>
      <c r="AT15" s="14" t="s">
        <v>27</v>
      </c>
      <c r="AU15" s="14" t="str">
        <f t="shared" si="3"/>
        <v>November</v>
      </c>
      <c r="AV15" s="10" t="s">
        <v>11</v>
      </c>
      <c r="AW15" s="22">
        <f t="shared" si="4"/>
        <v>24</v>
      </c>
      <c r="AX15" s="22">
        <f t="shared" si="5"/>
        <v>0</v>
      </c>
      <c r="AY15" s="22">
        <f t="shared" si="6"/>
        <v>1</v>
      </c>
      <c r="AZ15" s="22">
        <f t="shared" si="7"/>
        <v>5</v>
      </c>
      <c r="BA15" s="22">
        <f t="shared" si="8"/>
        <v>30</v>
      </c>
      <c r="BB15" s="22">
        <f>JanMonthlyReport13[[#This Row],[Days]]-JanMonthlyReport13[[#This Row],[Absent]]</f>
        <v>30</v>
      </c>
      <c r="BC15" s="23">
        <v>8000</v>
      </c>
      <c r="BD15" s="23">
        <f>JanMonthlyReport13[[#This Row],[Basic Salary]]/JanMonthlyReport13[[#This Row],[Days]]</f>
        <v>266.66666666666669</v>
      </c>
      <c r="BE15" s="23">
        <f>JanMonthlyReport13[[#This Row],[Per Day Salary]]*JanMonthlyReport13[[#This Row],[Absent]]</f>
        <v>0</v>
      </c>
      <c r="BF15" s="26">
        <f>JanMonthlyReport13[[#This Row],[Basic Salary]]-JanMonthlyReport13[[#This Row],[Deduction]]</f>
        <v>8000</v>
      </c>
      <c r="BG15" s="21"/>
      <c r="BH15" s="43"/>
    </row>
    <row r="16" spans="1:60" x14ac:dyDescent="0.25">
      <c r="A16"/>
      <c r="B16"/>
      <c r="E16" s="39"/>
      <c r="F16" s="24">
        <v>9</v>
      </c>
      <c r="G16" s="14" t="s">
        <v>28</v>
      </c>
      <c r="H16" s="10" t="s">
        <v>10</v>
      </c>
      <c r="I16" s="15">
        <f t="shared" si="9"/>
        <v>5</v>
      </c>
      <c r="J16" s="14" t="str">
        <f t="shared" si="10"/>
        <v>WO</v>
      </c>
      <c r="K16" s="14" t="s">
        <v>57</v>
      </c>
      <c r="L16" s="14" t="s">
        <v>57</v>
      </c>
      <c r="M16" s="14" t="s">
        <v>57</v>
      </c>
      <c r="N16" s="14" t="s">
        <v>57</v>
      </c>
      <c r="O16" s="14" t="s">
        <v>57</v>
      </c>
      <c r="P16" s="14" t="s">
        <v>57</v>
      </c>
      <c r="Q16" s="14" t="str">
        <f t="shared" si="2"/>
        <v>WO</v>
      </c>
      <c r="R16" s="14" t="s">
        <v>57</v>
      </c>
      <c r="S16" s="14" t="s">
        <v>57</v>
      </c>
      <c r="T16" s="14" t="s">
        <v>57</v>
      </c>
      <c r="U16" s="14" t="s">
        <v>57</v>
      </c>
      <c r="V16" s="14" t="s">
        <v>57</v>
      </c>
      <c r="W16" s="14" t="s">
        <v>57</v>
      </c>
      <c r="X16" s="14" t="str">
        <f t="shared" si="2"/>
        <v>WO</v>
      </c>
      <c r="Y16" s="14" t="s">
        <v>57</v>
      </c>
      <c r="Z16" s="14" t="s">
        <v>57</v>
      </c>
      <c r="AA16" s="14" t="s">
        <v>57</v>
      </c>
      <c r="AB16" s="14" t="s">
        <v>57</v>
      </c>
      <c r="AC16" s="14" t="s">
        <v>57</v>
      </c>
      <c r="AD16" s="14" t="s">
        <v>57</v>
      </c>
      <c r="AE16" s="14" t="str">
        <f t="shared" ref="Z16:AN24" si="11">IF(AE$6 = "sun","WO","")</f>
        <v>WO</v>
      </c>
      <c r="AF16" s="14" t="s">
        <v>57</v>
      </c>
      <c r="AG16" s="14" t="s">
        <v>57</v>
      </c>
      <c r="AH16" s="14" t="s">
        <v>57</v>
      </c>
      <c r="AI16" s="14" t="s">
        <v>57</v>
      </c>
      <c r="AJ16" s="14" t="s">
        <v>57</v>
      </c>
      <c r="AK16" s="14" t="s">
        <v>57</v>
      </c>
      <c r="AL16" s="14" t="str">
        <f t="shared" si="11"/>
        <v>WO</v>
      </c>
      <c r="AM16" s="14" t="s">
        <v>58</v>
      </c>
      <c r="AN16" s="14"/>
      <c r="AO16" s="39"/>
      <c r="AR16" s="43"/>
      <c r="AS16" s="22">
        <v>9</v>
      </c>
      <c r="AT16" s="14" t="s">
        <v>28</v>
      </c>
      <c r="AU16" s="14" t="str">
        <f t="shared" si="3"/>
        <v>November</v>
      </c>
      <c r="AV16" s="10" t="s">
        <v>10</v>
      </c>
      <c r="AW16" s="22">
        <f t="shared" si="4"/>
        <v>24</v>
      </c>
      <c r="AX16" s="22">
        <f t="shared" si="5"/>
        <v>0</v>
      </c>
      <c r="AY16" s="22">
        <f t="shared" si="6"/>
        <v>1</v>
      </c>
      <c r="AZ16" s="22">
        <f t="shared" si="7"/>
        <v>5</v>
      </c>
      <c r="BA16" s="22">
        <f t="shared" si="8"/>
        <v>30</v>
      </c>
      <c r="BB16" s="22">
        <f>JanMonthlyReport13[[#This Row],[Days]]-JanMonthlyReport13[[#This Row],[Absent]]</f>
        <v>30</v>
      </c>
      <c r="BC16" s="23">
        <v>10000</v>
      </c>
      <c r="BD16" s="23">
        <f>JanMonthlyReport13[[#This Row],[Basic Salary]]/JanMonthlyReport13[[#This Row],[Days]]</f>
        <v>333.33333333333331</v>
      </c>
      <c r="BE16" s="23">
        <f>JanMonthlyReport13[[#This Row],[Per Day Salary]]*JanMonthlyReport13[[#This Row],[Absent]]</f>
        <v>0</v>
      </c>
      <c r="BF16" s="26">
        <f>JanMonthlyReport13[[#This Row],[Basic Salary]]-JanMonthlyReport13[[#This Row],[Deduction]]</f>
        <v>10000</v>
      </c>
      <c r="BG16" s="21"/>
      <c r="BH16" s="43"/>
    </row>
    <row r="17" spans="1:60" x14ac:dyDescent="0.25">
      <c r="A17"/>
      <c r="B17"/>
      <c r="E17" s="39"/>
      <c r="F17" s="24">
        <v>10</v>
      </c>
      <c r="G17" s="14" t="s">
        <v>29</v>
      </c>
      <c r="H17" s="10" t="s">
        <v>12</v>
      </c>
      <c r="I17" s="15">
        <f t="shared" si="9"/>
        <v>5</v>
      </c>
      <c r="J17" s="14" t="str">
        <f t="shared" si="10"/>
        <v>WO</v>
      </c>
      <c r="K17" s="14" t="s">
        <v>57</v>
      </c>
      <c r="L17" s="14" t="s">
        <v>57</v>
      </c>
      <c r="M17" s="14" t="s">
        <v>57</v>
      </c>
      <c r="N17" s="14" t="s">
        <v>57</v>
      </c>
      <c r="O17" s="14" t="s">
        <v>57</v>
      </c>
      <c r="P17" s="14" t="s">
        <v>57</v>
      </c>
      <c r="Q17" s="14" t="str">
        <f t="shared" si="10"/>
        <v>WO</v>
      </c>
      <c r="R17" s="14" t="s">
        <v>57</v>
      </c>
      <c r="S17" s="14" t="s">
        <v>57</v>
      </c>
      <c r="T17" s="14" t="s">
        <v>57</v>
      </c>
      <c r="U17" s="14" t="s">
        <v>57</v>
      </c>
      <c r="V17" s="14" t="s">
        <v>57</v>
      </c>
      <c r="W17" s="14" t="s">
        <v>57</v>
      </c>
      <c r="X17" s="14" t="str">
        <f t="shared" si="10"/>
        <v>WO</v>
      </c>
      <c r="Y17" s="14" t="s">
        <v>57</v>
      </c>
      <c r="Z17" s="14" t="s">
        <v>57</v>
      </c>
      <c r="AA17" s="14" t="s">
        <v>57</v>
      </c>
      <c r="AB17" s="14" t="s">
        <v>57</v>
      </c>
      <c r="AC17" s="14" t="s">
        <v>57</v>
      </c>
      <c r="AD17" s="14" t="s">
        <v>57</v>
      </c>
      <c r="AE17" s="14" t="str">
        <f t="shared" si="11"/>
        <v>WO</v>
      </c>
      <c r="AF17" s="14" t="s">
        <v>57</v>
      </c>
      <c r="AG17" s="14" t="s">
        <v>57</v>
      </c>
      <c r="AH17" s="14" t="s">
        <v>57</v>
      </c>
      <c r="AI17" s="14" t="s">
        <v>57</v>
      </c>
      <c r="AJ17" s="14" t="s">
        <v>57</v>
      </c>
      <c r="AK17" s="14" t="s">
        <v>57</v>
      </c>
      <c r="AL17" s="14" t="str">
        <f t="shared" si="11"/>
        <v>WO</v>
      </c>
      <c r="AM17" s="14" t="s">
        <v>58</v>
      </c>
      <c r="AN17" s="14"/>
      <c r="AO17" s="39"/>
      <c r="AR17" s="43"/>
      <c r="AS17" s="22">
        <v>10</v>
      </c>
      <c r="AT17" s="14" t="s">
        <v>29</v>
      </c>
      <c r="AU17" s="14" t="str">
        <f t="shared" si="3"/>
        <v>November</v>
      </c>
      <c r="AV17" s="10" t="s">
        <v>12</v>
      </c>
      <c r="AW17" s="22">
        <f t="shared" si="4"/>
        <v>24</v>
      </c>
      <c r="AX17" s="22">
        <f t="shared" si="5"/>
        <v>0</v>
      </c>
      <c r="AY17" s="22">
        <f t="shared" si="6"/>
        <v>1</v>
      </c>
      <c r="AZ17" s="22">
        <f t="shared" si="7"/>
        <v>5</v>
      </c>
      <c r="BA17" s="22">
        <f t="shared" si="8"/>
        <v>30</v>
      </c>
      <c r="BB17" s="22">
        <f>JanMonthlyReport13[[#This Row],[Days]]-JanMonthlyReport13[[#This Row],[Absent]]</f>
        <v>30</v>
      </c>
      <c r="BC17" s="23">
        <v>13000</v>
      </c>
      <c r="BD17" s="23">
        <f>JanMonthlyReport13[[#This Row],[Basic Salary]]/JanMonthlyReport13[[#This Row],[Days]]</f>
        <v>433.33333333333331</v>
      </c>
      <c r="BE17" s="23">
        <f>JanMonthlyReport13[[#This Row],[Per Day Salary]]*JanMonthlyReport13[[#This Row],[Absent]]</f>
        <v>0</v>
      </c>
      <c r="BF17" s="26">
        <f>JanMonthlyReport13[[#This Row],[Basic Salary]]-JanMonthlyReport13[[#This Row],[Deduction]]</f>
        <v>13000</v>
      </c>
      <c r="BG17" s="21"/>
      <c r="BH17" s="43"/>
    </row>
    <row r="18" spans="1:60" x14ac:dyDescent="0.25">
      <c r="A18"/>
      <c r="B18"/>
      <c r="E18" s="39"/>
      <c r="F18" s="24">
        <v>11</v>
      </c>
      <c r="G18" s="14" t="s">
        <v>30</v>
      </c>
      <c r="H18" s="10" t="s">
        <v>13</v>
      </c>
      <c r="I18" s="15">
        <f t="shared" si="9"/>
        <v>5</v>
      </c>
      <c r="J18" s="14" t="str">
        <f t="shared" si="10"/>
        <v>WO</v>
      </c>
      <c r="K18" s="14" t="s">
        <v>57</v>
      </c>
      <c r="L18" s="14" t="s">
        <v>57</v>
      </c>
      <c r="M18" s="14" t="s">
        <v>57</v>
      </c>
      <c r="N18" s="14" t="s">
        <v>57</v>
      </c>
      <c r="O18" s="14" t="s">
        <v>57</v>
      </c>
      <c r="P18" s="14" t="s">
        <v>57</v>
      </c>
      <c r="Q18" s="14" t="str">
        <f t="shared" si="10"/>
        <v>WO</v>
      </c>
      <c r="R18" s="14" t="s">
        <v>57</v>
      </c>
      <c r="S18" s="14" t="s">
        <v>57</v>
      </c>
      <c r="T18" s="14" t="s">
        <v>57</v>
      </c>
      <c r="U18" s="14" t="s">
        <v>57</v>
      </c>
      <c r="V18" s="14" t="s">
        <v>59</v>
      </c>
      <c r="W18" s="14" t="s">
        <v>57</v>
      </c>
      <c r="X18" s="14" t="str">
        <f t="shared" si="10"/>
        <v>WO</v>
      </c>
      <c r="Y18" s="14" t="s">
        <v>57</v>
      </c>
      <c r="Z18" s="14" t="s">
        <v>57</v>
      </c>
      <c r="AA18" s="14" t="s">
        <v>57</v>
      </c>
      <c r="AB18" s="14" t="s">
        <v>57</v>
      </c>
      <c r="AC18" s="14" t="s">
        <v>57</v>
      </c>
      <c r="AD18" s="14" t="s">
        <v>57</v>
      </c>
      <c r="AE18" s="14" t="str">
        <f t="shared" si="11"/>
        <v>WO</v>
      </c>
      <c r="AF18" s="14" t="s">
        <v>57</v>
      </c>
      <c r="AG18" s="14" t="s">
        <v>57</v>
      </c>
      <c r="AH18" s="14" t="s">
        <v>57</v>
      </c>
      <c r="AI18" s="14" t="s">
        <v>57</v>
      </c>
      <c r="AJ18" s="14" t="s">
        <v>57</v>
      </c>
      <c r="AK18" s="14" t="s">
        <v>57</v>
      </c>
      <c r="AL18" s="14" t="str">
        <f t="shared" si="11"/>
        <v>WO</v>
      </c>
      <c r="AM18" s="14" t="s">
        <v>58</v>
      </c>
      <c r="AN18" s="14"/>
      <c r="AO18" s="39"/>
      <c r="AR18" s="43"/>
      <c r="AS18" s="22">
        <v>11</v>
      </c>
      <c r="AT18" s="14" t="s">
        <v>30</v>
      </c>
      <c r="AU18" s="14" t="str">
        <f t="shared" si="3"/>
        <v>November</v>
      </c>
      <c r="AV18" s="10" t="s">
        <v>13</v>
      </c>
      <c r="AW18" s="22">
        <f t="shared" si="4"/>
        <v>23</v>
      </c>
      <c r="AX18" s="22">
        <f t="shared" si="5"/>
        <v>1</v>
      </c>
      <c r="AY18" s="22">
        <f t="shared" si="6"/>
        <v>1</v>
      </c>
      <c r="AZ18" s="22">
        <f t="shared" si="7"/>
        <v>5</v>
      </c>
      <c r="BA18" s="22">
        <f t="shared" si="8"/>
        <v>30</v>
      </c>
      <c r="BB18" s="22">
        <f>JanMonthlyReport13[[#This Row],[Days]]-JanMonthlyReport13[[#This Row],[Absent]]</f>
        <v>29</v>
      </c>
      <c r="BC18" s="23">
        <v>10000</v>
      </c>
      <c r="BD18" s="23">
        <f>JanMonthlyReport13[[#This Row],[Basic Salary]]/JanMonthlyReport13[[#This Row],[Days]]</f>
        <v>333.33333333333331</v>
      </c>
      <c r="BE18" s="23">
        <f>JanMonthlyReport13[[#This Row],[Per Day Salary]]*JanMonthlyReport13[[#This Row],[Absent]]</f>
        <v>333.33333333333331</v>
      </c>
      <c r="BF18" s="26">
        <f>JanMonthlyReport13[[#This Row],[Basic Salary]]-JanMonthlyReport13[[#This Row],[Deduction]]</f>
        <v>9666.6666666666661</v>
      </c>
      <c r="BG18" s="21"/>
      <c r="BH18" s="43"/>
    </row>
    <row r="19" spans="1:60" x14ac:dyDescent="0.25">
      <c r="A19"/>
      <c r="B19"/>
      <c r="E19" s="39"/>
      <c r="F19" s="24">
        <v>12</v>
      </c>
      <c r="G19" s="14" t="s">
        <v>31</v>
      </c>
      <c r="H19" s="10" t="s">
        <v>14</v>
      </c>
      <c r="I19" s="15">
        <f t="shared" si="9"/>
        <v>5</v>
      </c>
      <c r="J19" s="14" t="str">
        <f t="shared" si="10"/>
        <v>WO</v>
      </c>
      <c r="K19" s="14" t="s">
        <v>57</v>
      </c>
      <c r="L19" s="14" t="s">
        <v>57</v>
      </c>
      <c r="M19" s="14" t="s">
        <v>57</v>
      </c>
      <c r="N19" s="14" t="s">
        <v>57</v>
      </c>
      <c r="O19" s="14" t="s">
        <v>57</v>
      </c>
      <c r="P19" s="14" t="s">
        <v>57</v>
      </c>
      <c r="Q19" s="14" t="str">
        <f t="shared" si="10"/>
        <v>WO</v>
      </c>
      <c r="R19" s="14" t="s">
        <v>57</v>
      </c>
      <c r="S19" s="14" t="s">
        <v>57</v>
      </c>
      <c r="T19" s="14" t="s">
        <v>57</v>
      </c>
      <c r="U19" s="14" t="s">
        <v>57</v>
      </c>
      <c r="V19" s="14" t="s">
        <v>57</v>
      </c>
      <c r="W19" s="14" t="s">
        <v>57</v>
      </c>
      <c r="X19" s="14" t="str">
        <f t="shared" si="10"/>
        <v>WO</v>
      </c>
      <c r="Y19" s="14" t="s">
        <v>57</v>
      </c>
      <c r="Z19" s="14" t="s">
        <v>57</v>
      </c>
      <c r="AA19" s="14" t="s">
        <v>57</v>
      </c>
      <c r="AB19" s="14" t="s">
        <v>57</v>
      </c>
      <c r="AC19" s="14" t="s">
        <v>57</v>
      </c>
      <c r="AD19" s="14" t="s">
        <v>57</v>
      </c>
      <c r="AE19" s="14" t="str">
        <f t="shared" si="11"/>
        <v>WO</v>
      </c>
      <c r="AF19" s="14" t="s">
        <v>57</v>
      </c>
      <c r="AG19" s="14" t="s">
        <v>57</v>
      </c>
      <c r="AH19" s="14" t="s">
        <v>57</v>
      </c>
      <c r="AI19" s="14" t="s">
        <v>59</v>
      </c>
      <c r="AJ19" s="14" t="s">
        <v>57</v>
      </c>
      <c r="AK19" s="14" t="s">
        <v>57</v>
      </c>
      <c r="AL19" s="14" t="str">
        <f t="shared" si="11"/>
        <v>WO</v>
      </c>
      <c r="AM19" s="14" t="s">
        <v>58</v>
      </c>
      <c r="AN19" s="14"/>
      <c r="AO19" s="39"/>
      <c r="AR19" s="43"/>
      <c r="AS19" s="22">
        <v>12</v>
      </c>
      <c r="AT19" s="14" t="s">
        <v>31</v>
      </c>
      <c r="AU19" s="14" t="str">
        <f t="shared" si="3"/>
        <v>November</v>
      </c>
      <c r="AV19" s="10" t="s">
        <v>14</v>
      </c>
      <c r="AW19" s="22">
        <f t="shared" si="4"/>
        <v>23</v>
      </c>
      <c r="AX19" s="22">
        <f t="shared" si="5"/>
        <v>1</v>
      </c>
      <c r="AY19" s="22">
        <f t="shared" si="6"/>
        <v>1</v>
      </c>
      <c r="AZ19" s="22">
        <f t="shared" si="7"/>
        <v>5</v>
      </c>
      <c r="BA19" s="22">
        <f t="shared" si="8"/>
        <v>30</v>
      </c>
      <c r="BB19" s="22">
        <f>JanMonthlyReport13[[#This Row],[Days]]-JanMonthlyReport13[[#This Row],[Absent]]</f>
        <v>29</v>
      </c>
      <c r="BC19" s="23">
        <v>9000</v>
      </c>
      <c r="BD19" s="23">
        <f>JanMonthlyReport13[[#This Row],[Basic Salary]]/JanMonthlyReport13[[#This Row],[Days]]</f>
        <v>300</v>
      </c>
      <c r="BE19" s="23">
        <f>JanMonthlyReport13[[#This Row],[Per Day Salary]]*JanMonthlyReport13[[#This Row],[Absent]]</f>
        <v>300</v>
      </c>
      <c r="BF19" s="26">
        <f>JanMonthlyReport13[[#This Row],[Basic Salary]]-JanMonthlyReport13[[#This Row],[Deduction]]</f>
        <v>8700</v>
      </c>
      <c r="BG19" s="21"/>
      <c r="BH19" s="43"/>
    </row>
    <row r="20" spans="1:60" x14ac:dyDescent="0.25">
      <c r="A20"/>
      <c r="B20"/>
      <c r="E20" s="39"/>
      <c r="F20" s="24">
        <v>13</v>
      </c>
      <c r="G20" s="14" t="s">
        <v>32</v>
      </c>
      <c r="H20" s="10" t="s">
        <v>15</v>
      </c>
      <c r="I20" s="15">
        <f t="shared" si="9"/>
        <v>5</v>
      </c>
      <c r="J20" s="14" t="str">
        <f t="shared" si="10"/>
        <v>WO</v>
      </c>
      <c r="K20" s="14" t="s">
        <v>57</v>
      </c>
      <c r="L20" s="14" t="s">
        <v>57</v>
      </c>
      <c r="M20" s="14" t="s">
        <v>59</v>
      </c>
      <c r="N20" s="14" t="s">
        <v>57</v>
      </c>
      <c r="O20" s="14" t="s">
        <v>57</v>
      </c>
      <c r="P20" s="14" t="s">
        <v>57</v>
      </c>
      <c r="Q20" s="14" t="str">
        <f t="shared" si="10"/>
        <v>WO</v>
      </c>
      <c r="R20" s="14" t="s">
        <v>57</v>
      </c>
      <c r="S20" s="14" t="s">
        <v>57</v>
      </c>
      <c r="T20" s="14" t="s">
        <v>57</v>
      </c>
      <c r="U20" s="14" t="s">
        <v>57</v>
      </c>
      <c r="V20" s="14" t="s">
        <v>57</v>
      </c>
      <c r="W20" s="14" t="s">
        <v>57</v>
      </c>
      <c r="X20" s="14" t="str">
        <f t="shared" si="10"/>
        <v>WO</v>
      </c>
      <c r="Y20" s="14" t="s">
        <v>57</v>
      </c>
      <c r="Z20" s="14" t="s">
        <v>57</v>
      </c>
      <c r="AA20" s="14" t="s">
        <v>57</v>
      </c>
      <c r="AB20" s="14" t="s">
        <v>57</v>
      </c>
      <c r="AC20" s="14" t="s">
        <v>57</v>
      </c>
      <c r="AD20" s="14" t="s">
        <v>57</v>
      </c>
      <c r="AE20" s="14" t="str">
        <f t="shared" si="11"/>
        <v>WO</v>
      </c>
      <c r="AF20" s="14" t="s">
        <v>57</v>
      </c>
      <c r="AG20" s="14" t="s">
        <v>57</v>
      </c>
      <c r="AH20" s="14" t="s">
        <v>57</v>
      </c>
      <c r="AI20" s="14" t="s">
        <v>57</v>
      </c>
      <c r="AJ20" s="14" t="s">
        <v>57</v>
      </c>
      <c r="AK20" s="14" t="s">
        <v>57</v>
      </c>
      <c r="AL20" s="14" t="str">
        <f t="shared" si="11"/>
        <v>WO</v>
      </c>
      <c r="AM20" s="14" t="s">
        <v>58</v>
      </c>
      <c r="AN20" s="14"/>
      <c r="AO20" s="39"/>
      <c r="AR20" s="43"/>
      <c r="AS20" s="22">
        <v>13</v>
      </c>
      <c r="AT20" s="14" t="s">
        <v>32</v>
      </c>
      <c r="AU20" s="14" t="str">
        <f t="shared" si="3"/>
        <v>November</v>
      </c>
      <c r="AV20" s="10" t="s">
        <v>15</v>
      </c>
      <c r="AW20" s="22">
        <f t="shared" si="4"/>
        <v>23</v>
      </c>
      <c r="AX20" s="22">
        <f t="shared" si="5"/>
        <v>1</v>
      </c>
      <c r="AY20" s="22">
        <f t="shared" si="6"/>
        <v>1</v>
      </c>
      <c r="AZ20" s="22">
        <f t="shared" si="7"/>
        <v>5</v>
      </c>
      <c r="BA20" s="22">
        <f t="shared" si="8"/>
        <v>30</v>
      </c>
      <c r="BB20" s="22">
        <f>JanMonthlyReport13[[#This Row],[Days]]-JanMonthlyReport13[[#This Row],[Absent]]</f>
        <v>29</v>
      </c>
      <c r="BC20" s="23">
        <v>10000</v>
      </c>
      <c r="BD20" s="23">
        <f>JanMonthlyReport13[[#This Row],[Basic Salary]]/JanMonthlyReport13[[#This Row],[Days]]</f>
        <v>333.33333333333331</v>
      </c>
      <c r="BE20" s="23">
        <f>JanMonthlyReport13[[#This Row],[Per Day Salary]]*JanMonthlyReport13[[#This Row],[Absent]]</f>
        <v>333.33333333333331</v>
      </c>
      <c r="BF20" s="26">
        <f>JanMonthlyReport13[[#This Row],[Basic Salary]]-JanMonthlyReport13[[#This Row],[Deduction]]</f>
        <v>9666.6666666666661</v>
      </c>
      <c r="BG20" s="21"/>
      <c r="BH20" s="43"/>
    </row>
    <row r="21" spans="1:60" x14ac:dyDescent="0.25">
      <c r="A21"/>
      <c r="B21"/>
      <c r="E21" s="39"/>
      <c r="F21" s="24">
        <v>14</v>
      </c>
      <c r="G21" s="14" t="s">
        <v>33</v>
      </c>
      <c r="H21" s="10" t="s">
        <v>16</v>
      </c>
      <c r="I21" s="15">
        <f t="shared" si="9"/>
        <v>5</v>
      </c>
      <c r="J21" s="14" t="str">
        <f t="shared" si="10"/>
        <v>WO</v>
      </c>
      <c r="K21" s="14" t="s">
        <v>57</v>
      </c>
      <c r="L21" s="14" t="s">
        <v>57</v>
      </c>
      <c r="M21" s="14" t="s">
        <v>57</v>
      </c>
      <c r="N21" s="14" t="s">
        <v>57</v>
      </c>
      <c r="O21" s="14" t="s">
        <v>57</v>
      </c>
      <c r="P21" s="14" t="s">
        <v>57</v>
      </c>
      <c r="Q21" s="14" t="str">
        <f t="shared" si="10"/>
        <v>WO</v>
      </c>
      <c r="R21" s="14" t="s">
        <v>57</v>
      </c>
      <c r="S21" s="14" t="s">
        <v>57</v>
      </c>
      <c r="T21" s="14" t="s">
        <v>57</v>
      </c>
      <c r="U21" s="14" t="s">
        <v>57</v>
      </c>
      <c r="V21" s="14" t="s">
        <v>57</v>
      </c>
      <c r="W21" s="14" t="s">
        <v>57</v>
      </c>
      <c r="X21" s="14" t="str">
        <f t="shared" si="10"/>
        <v>WO</v>
      </c>
      <c r="Y21" s="14" t="s">
        <v>57</v>
      </c>
      <c r="Z21" s="14" t="s">
        <v>57</v>
      </c>
      <c r="AA21" s="14" t="s">
        <v>57</v>
      </c>
      <c r="AB21" s="14" t="s">
        <v>57</v>
      </c>
      <c r="AC21" s="14" t="s">
        <v>57</v>
      </c>
      <c r="AD21" s="14" t="s">
        <v>57</v>
      </c>
      <c r="AE21" s="14" t="str">
        <f t="shared" si="11"/>
        <v>WO</v>
      </c>
      <c r="AF21" s="14" t="s">
        <v>57</v>
      </c>
      <c r="AG21" s="14" t="s">
        <v>57</v>
      </c>
      <c r="AH21" s="14" t="s">
        <v>57</v>
      </c>
      <c r="AI21" s="14" t="s">
        <v>57</v>
      </c>
      <c r="AJ21" s="14" t="s">
        <v>57</v>
      </c>
      <c r="AK21" s="14" t="s">
        <v>57</v>
      </c>
      <c r="AL21" s="14" t="str">
        <f t="shared" si="11"/>
        <v>WO</v>
      </c>
      <c r="AM21" s="14" t="s">
        <v>58</v>
      </c>
      <c r="AN21" s="14"/>
      <c r="AO21" s="39"/>
      <c r="AR21" s="43"/>
      <c r="AS21" s="22">
        <v>14</v>
      </c>
      <c r="AT21" s="14" t="s">
        <v>33</v>
      </c>
      <c r="AU21" s="14" t="str">
        <f t="shared" si="3"/>
        <v>November</v>
      </c>
      <c r="AV21" s="10" t="s">
        <v>16</v>
      </c>
      <c r="AW21" s="22">
        <f t="shared" si="4"/>
        <v>24</v>
      </c>
      <c r="AX21" s="22">
        <f t="shared" si="5"/>
        <v>0</v>
      </c>
      <c r="AY21" s="22">
        <f t="shared" si="6"/>
        <v>1</v>
      </c>
      <c r="AZ21" s="22">
        <f t="shared" si="7"/>
        <v>5</v>
      </c>
      <c r="BA21" s="22">
        <f t="shared" si="8"/>
        <v>30</v>
      </c>
      <c r="BB21" s="22">
        <f>JanMonthlyReport13[[#This Row],[Days]]-JanMonthlyReport13[[#This Row],[Absent]]</f>
        <v>30</v>
      </c>
      <c r="BC21" s="23">
        <v>10000</v>
      </c>
      <c r="BD21" s="23">
        <f>JanMonthlyReport13[[#This Row],[Basic Salary]]/JanMonthlyReport13[[#This Row],[Days]]</f>
        <v>333.33333333333331</v>
      </c>
      <c r="BE21" s="23">
        <f>JanMonthlyReport13[[#This Row],[Per Day Salary]]*JanMonthlyReport13[[#This Row],[Absent]]</f>
        <v>0</v>
      </c>
      <c r="BF21" s="26">
        <f>JanMonthlyReport13[[#This Row],[Basic Salary]]-JanMonthlyReport13[[#This Row],[Deduction]]</f>
        <v>10000</v>
      </c>
      <c r="BG21" s="21"/>
      <c r="BH21" s="43"/>
    </row>
    <row r="22" spans="1:60" x14ac:dyDescent="0.25">
      <c r="A22"/>
      <c r="B22"/>
      <c r="E22" s="39"/>
      <c r="F22" s="24">
        <v>15</v>
      </c>
      <c r="G22" s="14" t="s">
        <v>34</v>
      </c>
      <c r="H22" s="10" t="s">
        <v>17</v>
      </c>
      <c r="I22" s="15">
        <f t="shared" si="9"/>
        <v>5</v>
      </c>
      <c r="J22" s="14" t="str">
        <f t="shared" si="10"/>
        <v>WO</v>
      </c>
      <c r="K22" s="14" t="s">
        <v>57</v>
      </c>
      <c r="L22" s="14" t="s">
        <v>57</v>
      </c>
      <c r="M22" s="14" t="s">
        <v>57</v>
      </c>
      <c r="N22" s="14" t="s">
        <v>57</v>
      </c>
      <c r="O22" s="14" t="s">
        <v>57</v>
      </c>
      <c r="P22" s="14" t="s">
        <v>57</v>
      </c>
      <c r="Q22" s="14" t="str">
        <f t="shared" si="10"/>
        <v>WO</v>
      </c>
      <c r="R22" s="14" t="s">
        <v>57</v>
      </c>
      <c r="S22" s="14" t="s">
        <v>57</v>
      </c>
      <c r="T22" s="14" t="s">
        <v>57</v>
      </c>
      <c r="U22" s="14" t="s">
        <v>57</v>
      </c>
      <c r="V22" s="14" t="s">
        <v>57</v>
      </c>
      <c r="W22" s="14" t="s">
        <v>57</v>
      </c>
      <c r="X22" s="14" t="str">
        <f t="shared" si="10"/>
        <v>WO</v>
      </c>
      <c r="Y22" s="14" t="s">
        <v>57</v>
      </c>
      <c r="Z22" s="14" t="s">
        <v>57</v>
      </c>
      <c r="AA22" s="14" t="s">
        <v>57</v>
      </c>
      <c r="AB22" s="14" t="s">
        <v>57</v>
      </c>
      <c r="AC22" s="14" t="s">
        <v>57</v>
      </c>
      <c r="AD22" s="14" t="s">
        <v>57</v>
      </c>
      <c r="AE22" s="14" t="str">
        <f t="shared" si="11"/>
        <v>WO</v>
      </c>
      <c r="AF22" s="14" t="s">
        <v>57</v>
      </c>
      <c r="AG22" s="14" t="s">
        <v>57</v>
      </c>
      <c r="AH22" s="14" t="s">
        <v>57</v>
      </c>
      <c r="AI22" s="14" t="s">
        <v>57</v>
      </c>
      <c r="AJ22" s="14" t="s">
        <v>57</v>
      </c>
      <c r="AK22" s="14" t="s">
        <v>57</v>
      </c>
      <c r="AL22" s="14" t="str">
        <f t="shared" si="11"/>
        <v>WO</v>
      </c>
      <c r="AM22" s="14" t="s">
        <v>58</v>
      </c>
      <c r="AN22" s="14"/>
      <c r="AO22" s="39"/>
      <c r="AR22" s="43"/>
      <c r="AS22" s="22">
        <v>15</v>
      </c>
      <c r="AT22" s="14" t="s">
        <v>34</v>
      </c>
      <c r="AU22" s="14" t="str">
        <f t="shared" si="3"/>
        <v>November</v>
      </c>
      <c r="AV22" s="10" t="s">
        <v>17</v>
      </c>
      <c r="AW22" s="22">
        <f t="shared" si="4"/>
        <v>24</v>
      </c>
      <c r="AX22" s="22">
        <f t="shared" si="5"/>
        <v>0</v>
      </c>
      <c r="AY22" s="22">
        <f t="shared" si="6"/>
        <v>1</v>
      </c>
      <c r="AZ22" s="22">
        <f t="shared" si="7"/>
        <v>5</v>
      </c>
      <c r="BA22" s="22">
        <f t="shared" si="8"/>
        <v>30</v>
      </c>
      <c r="BB22" s="22">
        <f>JanMonthlyReport13[[#This Row],[Days]]-JanMonthlyReport13[[#This Row],[Absent]]</f>
        <v>30</v>
      </c>
      <c r="BC22" s="23">
        <v>10000</v>
      </c>
      <c r="BD22" s="23">
        <f>JanMonthlyReport13[[#This Row],[Basic Salary]]/JanMonthlyReport13[[#This Row],[Days]]</f>
        <v>333.33333333333331</v>
      </c>
      <c r="BE22" s="23">
        <f>JanMonthlyReport13[[#This Row],[Per Day Salary]]*JanMonthlyReport13[[#This Row],[Absent]]</f>
        <v>0</v>
      </c>
      <c r="BF22" s="26">
        <f>JanMonthlyReport13[[#This Row],[Basic Salary]]-JanMonthlyReport13[[#This Row],[Deduction]]</f>
        <v>10000</v>
      </c>
      <c r="BG22" s="21"/>
      <c r="BH22" s="43"/>
    </row>
    <row r="23" spans="1:60" x14ac:dyDescent="0.25">
      <c r="A23"/>
      <c r="B23"/>
      <c r="E23" s="39"/>
      <c r="F23" s="24">
        <v>16</v>
      </c>
      <c r="G23" s="14" t="s">
        <v>35</v>
      </c>
      <c r="H23" s="10" t="s">
        <v>18</v>
      </c>
      <c r="I23" s="15">
        <f t="shared" si="9"/>
        <v>5</v>
      </c>
      <c r="J23" s="14" t="str">
        <f t="shared" si="10"/>
        <v>WO</v>
      </c>
      <c r="K23" s="14" t="s">
        <v>57</v>
      </c>
      <c r="L23" s="14" t="s">
        <v>57</v>
      </c>
      <c r="M23" s="14" t="s">
        <v>57</v>
      </c>
      <c r="N23" s="14" t="s">
        <v>57</v>
      </c>
      <c r="O23" s="14" t="s">
        <v>57</v>
      </c>
      <c r="P23" s="14" t="s">
        <v>57</v>
      </c>
      <c r="Q23" s="14" t="str">
        <f t="shared" si="10"/>
        <v>WO</v>
      </c>
      <c r="R23" s="14" t="s">
        <v>57</v>
      </c>
      <c r="S23" s="14" t="s">
        <v>57</v>
      </c>
      <c r="T23" s="14" t="s">
        <v>57</v>
      </c>
      <c r="U23" s="14" t="s">
        <v>57</v>
      </c>
      <c r="V23" s="14" t="s">
        <v>57</v>
      </c>
      <c r="W23" s="14" t="s">
        <v>57</v>
      </c>
      <c r="X23" s="14" t="str">
        <f t="shared" si="10"/>
        <v>WO</v>
      </c>
      <c r="Y23" s="14" t="s">
        <v>57</v>
      </c>
      <c r="Z23" s="14" t="s">
        <v>57</v>
      </c>
      <c r="AA23" s="14" t="s">
        <v>57</v>
      </c>
      <c r="AB23" s="14" t="s">
        <v>57</v>
      </c>
      <c r="AC23" s="14" t="s">
        <v>57</v>
      </c>
      <c r="AD23" s="14" t="s">
        <v>57</v>
      </c>
      <c r="AE23" s="14" t="str">
        <f t="shared" si="11"/>
        <v>WO</v>
      </c>
      <c r="AF23" s="14" t="s">
        <v>57</v>
      </c>
      <c r="AG23" s="14" t="s">
        <v>57</v>
      </c>
      <c r="AH23" s="14" t="s">
        <v>57</v>
      </c>
      <c r="AI23" s="14" t="s">
        <v>57</v>
      </c>
      <c r="AJ23" s="14" t="s">
        <v>57</v>
      </c>
      <c r="AK23" s="14" t="s">
        <v>57</v>
      </c>
      <c r="AL23" s="14" t="str">
        <f t="shared" si="11"/>
        <v>WO</v>
      </c>
      <c r="AM23" s="14" t="s">
        <v>58</v>
      </c>
      <c r="AN23" s="14"/>
      <c r="AO23" s="39"/>
      <c r="AR23" s="43"/>
      <c r="AS23" s="22">
        <v>16</v>
      </c>
      <c r="AT23" s="14" t="s">
        <v>35</v>
      </c>
      <c r="AU23" s="14" t="str">
        <f t="shared" si="3"/>
        <v>November</v>
      </c>
      <c r="AV23" s="10" t="s">
        <v>18</v>
      </c>
      <c r="AW23" s="22">
        <f t="shared" si="4"/>
        <v>24</v>
      </c>
      <c r="AX23" s="22">
        <f t="shared" si="5"/>
        <v>0</v>
      </c>
      <c r="AY23" s="22">
        <f t="shared" si="6"/>
        <v>1</v>
      </c>
      <c r="AZ23" s="22">
        <f t="shared" si="7"/>
        <v>5</v>
      </c>
      <c r="BA23" s="22">
        <f t="shared" si="8"/>
        <v>30</v>
      </c>
      <c r="BB23" s="22">
        <f>JanMonthlyReport13[[#This Row],[Days]]-JanMonthlyReport13[[#This Row],[Absent]]</f>
        <v>30</v>
      </c>
      <c r="BC23" s="23">
        <v>10000</v>
      </c>
      <c r="BD23" s="23">
        <f>JanMonthlyReport13[[#This Row],[Basic Salary]]/JanMonthlyReport13[[#This Row],[Days]]</f>
        <v>333.33333333333331</v>
      </c>
      <c r="BE23" s="23">
        <f>JanMonthlyReport13[[#This Row],[Per Day Salary]]*JanMonthlyReport13[[#This Row],[Absent]]</f>
        <v>0</v>
      </c>
      <c r="BF23" s="26">
        <f>JanMonthlyReport13[[#This Row],[Basic Salary]]-JanMonthlyReport13[[#This Row],[Deduction]]</f>
        <v>10000</v>
      </c>
      <c r="BG23" s="21"/>
      <c r="BH23" s="43"/>
    </row>
    <row r="24" spans="1:60" ht="15.75" thickBot="1" x14ac:dyDescent="0.3">
      <c r="A24"/>
      <c r="B24"/>
      <c r="E24" s="39"/>
      <c r="F24" s="25">
        <v>17</v>
      </c>
      <c r="G24" s="33" t="s">
        <v>36</v>
      </c>
      <c r="H24" s="34" t="s">
        <v>19</v>
      </c>
      <c r="I24" s="35">
        <f t="shared" si="9"/>
        <v>5</v>
      </c>
      <c r="J24" s="33" t="str">
        <f t="shared" si="10"/>
        <v>WO</v>
      </c>
      <c r="K24" s="33" t="s">
        <v>57</v>
      </c>
      <c r="L24" s="33" t="s">
        <v>57</v>
      </c>
      <c r="M24" s="33" t="s">
        <v>57</v>
      </c>
      <c r="N24" s="33" t="s">
        <v>57</v>
      </c>
      <c r="O24" s="33" t="s">
        <v>57</v>
      </c>
      <c r="P24" s="33" t="s">
        <v>57</v>
      </c>
      <c r="Q24" s="33" t="str">
        <f t="shared" si="10"/>
        <v>WO</v>
      </c>
      <c r="R24" s="33" t="s">
        <v>57</v>
      </c>
      <c r="S24" s="33" t="s">
        <v>57</v>
      </c>
      <c r="T24" s="33" t="s">
        <v>57</v>
      </c>
      <c r="U24" s="33" t="s">
        <v>57</v>
      </c>
      <c r="V24" s="33" t="s">
        <v>57</v>
      </c>
      <c r="W24" s="33" t="s">
        <v>57</v>
      </c>
      <c r="X24" s="33" t="str">
        <f t="shared" si="10"/>
        <v>WO</v>
      </c>
      <c r="Y24" s="33" t="s">
        <v>57</v>
      </c>
      <c r="Z24" s="33" t="s">
        <v>57</v>
      </c>
      <c r="AA24" s="33" t="s">
        <v>57</v>
      </c>
      <c r="AB24" s="33" t="s">
        <v>57</v>
      </c>
      <c r="AC24" s="33" t="s">
        <v>57</v>
      </c>
      <c r="AD24" s="33" t="s">
        <v>57</v>
      </c>
      <c r="AE24" s="33" t="str">
        <f t="shared" si="11"/>
        <v>WO</v>
      </c>
      <c r="AF24" s="33" t="s">
        <v>57</v>
      </c>
      <c r="AG24" s="33" t="s">
        <v>57</v>
      </c>
      <c r="AH24" s="33" t="s">
        <v>57</v>
      </c>
      <c r="AI24" s="33" t="s">
        <v>57</v>
      </c>
      <c r="AJ24" s="33" t="s">
        <v>57</v>
      </c>
      <c r="AK24" s="33" t="s">
        <v>57</v>
      </c>
      <c r="AL24" s="33" t="str">
        <f t="shared" si="11"/>
        <v>WO</v>
      </c>
      <c r="AM24" s="33" t="s">
        <v>58</v>
      </c>
      <c r="AN24" s="33"/>
      <c r="AO24" s="39"/>
      <c r="AR24" s="43"/>
      <c r="AS24" s="22">
        <v>17</v>
      </c>
      <c r="AT24" s="14" t="s">
        <v>36</v>
      </c>
      <c r="AU24" s="14" t="str">
        <f t="shared" si="3"/>
        <v>November</v>
      </c>
      <c r="AV24" s="10" t="s">
        <v>19</v>
      </c>
      <c r="AW24" s="22">
        <f t="shared" si="4"/>
        <v>24</v>
      </c>
      <c r="AX24" s="22">
        <f t="shared" si="5"/>
        <v>0</v>
      </c>
      <c r="AY24" s="22">
        <f t="shared" si="6"/>
        <v>1</v>
      </c>
      <c r="AZ24" s="22">
        <f t="shared" si="7"/>
        <v>5</v>
      </c>
      <c r="BA24" s="22">
        <f t="shared" si="8"/>
        <v>30</v>
      </c>
      <c r="BB24" s="22">
        <f>JanMonthlyReport13[[#This Row],[Days]]-JanMonthlyReport13[[#This Row],[Absent]]</f>
        <v>30</v>
      </c>
      <c r="BC24" s="23">
        <v>9000</v>
      </c>
      <c r="BD24" s="23">
        <f>JanMonthlyReport13[[#This Row],[Basic Salary]]/JanMonthlyReport13[[#This Row],[Days]]</f>
        <v>300</v>
      </c>
      <c r="BE24" s="23">
        <f>JanMonthlyReport13[[#This Row],[Per Day Salary]]*JanMonthlyReport13[[#This Row],[Absent]]</f>
        <v>0</v>
      </c>
      <c r="BF24" s="26">
        <f>JanMonthlyReport13[[#This Row],[Basic Salary]]-JanMonthlyReport13[[#This Row],[Deduction]]</f>
        <v>9000</v>
      </c>
      <c r="BG24" s="21"/>
      <c r="BH24" s="43"/>
    </row>
    <row r="25" spans="1:60" x14ac:dyDescent="0.25">
      <c r="A25"/>
      <c r="B25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</row>
    <row r="26" spans="1:60" x14ac:dyDescent="0.25">
      <c r="A26"/>
      <c r="B26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</row>
    <row r="27" spans="1:60" x14ac:dyDescent="0.25">
      <c r="A27"/>
      <c r="B27"/>
    </row>
    <row r="28" spans="1:60" x14ac:dyDescent="0.25">
      <c r="A28"/>
      <c r="B28"/>
    </row>
    <row r="29" spans="1:60" x14ac:dyDescent="0.25">
      <c r="A29"/>
      <c r="B29"/>
    </row>
    <row r="30" spans="1:60" x14ac:dyDescent="0.25">
      <c r="A30"/>
      <c r="B30"/>
    </row>
    <row r="31" spans="1:60" x14ac:dyDescent="0.25">
      <c r="A31"/>
      <c r="B31"/>
    </row>
    <row r="32" spans="1:60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</sheetData>
  <mergeCells count="1">
    <mergeCell ref="F6:H6"/>
  </mergeCells>
  <conditionalFormatting sqref="AQ7 J8:J24 AL8:AL24 AE8:AE24 X8:X24 Q8:Q24">
    <cfRule type="containsText" dxfId="389" priority="10" operator="containsText" text="WO">
      <formula>NOT(ISERROR(SEARCH("WO",J7)))</formula>
    </cfRule>
  </conditionalFormatting>
  <conditionalFormatting sqref="G4 I8:J24 AL8:AL24 AE8:AE24 X8:X24 Q8:Q24">
    <cfRule type="containsText" dxfId="388" priority="9" operator="containsText" text="WO">
      <formula>NOT(ISERROR(SEARCH("WO",G4)))</formula>
    </cfRule>
  </conditionalFormatting>
  <conditionalFormatting sqref="J8:J24 AL8:AL24 AE8:AE24 X8:X24 Q8:Q24">
    <cfRule type="containsText" dxfId="385" priority="6" operator="containsText" text="L">
      <formula>NOT(ISERROR(SEARCH("L",J8)))</formula>
    </cfRule>
    <cfRule type="containsText" dxfId="386" priority="7" operator="containsText" text="A">
      <formula>NOT(ISERROR(SEARCH("A",J8)))</formula>
    </cfRule>
    <cfRule type="containsText" dxfId="387" priority="8" operator="containsText" text="P">
      <formula>NOT(ISERROR(SEARCH("P",J8)))</formula>
    </cfRule>
  </conditionalFormatting>
  <conditionalFormatting sqref="K8:P24 R8:W24 Y8:AD24 AM8:AN24 AF8:AK24">
    <cfRule type="containsText" dxfId="14" priority="5" operator="containsText" text="WO">
      <formula>NOT(ISERROR(SEARCH("WO",K8)))</formula>
    </cfRule>
  </conditionalFormatting>
  <conditionalFormatting sqref="K8:P24 R8:W24 Y8:AD24 AM8:AN24 AF8:AK24">
    <cfRule type="containsText" dxfId="13" priority="4" operator="containsText" text="WO">
      <formula>NOT(ISERROR(SEARCH("WO",K8)))</formula>
    </cfRule>
  </conditionalFormatting>
  <conditionalFormatting sqref="K8:P24 R8:W24 Y8:AD24 AM8:AN24 AF8:AK24">
    <cfRule type="containsText" dxfId="12" priority="1" operator="containsText" text="L">
      <formula>NOT(ISERROR(SEARCH("L",K8)))</formula>
    </cfRule>
    <cfRule type="containsText" dxfId="11" priority="2" operator="containsText" text="A">
      <formula>NOT(ISERROR(SEARCH("A",K8)))</formula>
    </cfRule>
    <cfRule type="containsText" dxfId="10" priority="3" operator="containsText" text="P">
      <formula>NOT(ISERROR(SEARCH("P",K8)))</formula>
    </cfRule>
  </conditionalFormatting>
  <dataValidations count="1">
    <dataValidation type="list" allowBlank="1" showInputMessage="1" showErrorMessage="1" sqref="AF8:AK24 AM8:AN24 Y8:AD24 R8:W24 K8:P24" xr:uid="{EE8807B4-9AF8-4C97-A103-E848ABD1F7F7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447887-F193-4469-9C98-EDA837F0E603}">
          <x14:formula1>
            <xm:f>Rough!$A$1:$A$12</xm:f>
          </x14:formula1>
          <xm:sqref>G4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7E7E32E1-368D-45CE-B9EE-B05FBD94AAC3}">
          <x14:colorSeries theme="7"/>
          <x14:colorNegative rgb="FFFF0000"/>
          <x14:colorAxis rgb="FF000000"/>
          <x14:colorMarkers rgb="FFD00000"/>
          <x14:colorFirst rgb="FFD00000"/>
          <x14:colorLast rgb="FFD00000"/>
          <x14:colorHigh rgb="FF2BF595"/>
          <x14:colorLow rgb="FFD00000"/>
          <x14:sparklines>
            <x14:sparkline>
              <xm:f>Nov!AW8:AY8</xm:f>
              <xm:sqref>BG8</xm:sqref>
            </x14:sparkline>
            <x14:sparkline>
              <xm:f>Nov!AW9:AY9</xm:f>
              <xm:sqref>BG9</xm:sqref>
            </x14:sparkline>
            <x14:sparkline>
              <xm:f>Nov!AW10:AY10</xm:f>
              <xm:sqref>BG10</xm:sqref>
            </x14:sparkline>
            <x14:sparkline>
              <xm:f>Nov!AW11:AY11</xm:f>
              <xm:sqref>BG11</xm:sqref>
            </x14:sparkline>
            <x14:sparkline>
              <xm:f>Nov!AW12:AY12</xm:f>
              <xm:sqref>BG12</xm:sqref>
            </x14:sparkline>
            <x14:sparkline>
              <xm:f>Nov!AW13:AY13</xm:f>
              <xm:sqref>BG13</xm:sqref>
            </x14:sparkline>
            <x14:sparkline>
              <xm:f>Nov!AW14:AY14</xm:f>
              <xm:sqref>BG14</xm:sqref>
            </x14:sparkline>
            <x14:sparkline>
              <xm:f>Nov!AW15:AY15</xm:f>
              <xm:sqref>BG15</xm:sqref>
            </x14:sparkline>
            <x14:sparkline>
              <xm:f>Nov!AW16:AY16</xm:f>
              <xm:sqref>BG16</xm:sqref>
            </x14:sparkline>
            <x14:sparkline>
              <xm:f>Nov!AW17:AY17</xm:f>
              <xm:sqref>BG17</xm:sqref>
            </x14:sparkline>
            <x14:sparkline>
              <xm:f>Nov!AW18:AY18</xm:f>
              <xm:sqref>BG18</xm:sqref>
            </x14:sparkline>
            <x14:sparkline>
              <xm:f>Nov!AW19:AY19</xm:f>
              <xm:sqref>BG19</xm:sqref>
            </x14:sparkline>
            <x14:sparkline>
              <xm:f>Nov!AW20:AY20</xm:f>
              <xm:sqref>BG20</xm:sqref>
            </x14:sparkline>
            <x14:sparkline>
              <xm:f>Nov!AW21:AY21</xm:f>
              <xm:sqref>BG21</xm:sqref>
            </x14:sparkline>
            <x14:sparkline>
              <xm:f>Nov!AW22:AY22</xm:f>
              <xm:sqref>BG22</xm:sqref>
            </x14:sparkline>
            <x14:sparkline>
              <xm:f>Nov!AW23:AY23</xm:f>
              <xm:sqref>BG23</xm:sqref>
            </x14:sparkline>
            <x14:sparkline>
              <xm:f>Nov!AW24:AY24</xm:f>
              <xm:sqref>BG24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1FE3-94AC-4F45-8654-93F762234EB5}">
  <dimension ref="A1:BH36"/>
  <sheetViews>
    <sheetView topLeftCell="AM1" zoomScale="73" zoomScaleNormal="73" workbookViewId="0">
      <selection activeCell="BF28" sqref="BF28"/>
    </sheetView>
  </sheetViews>
  <sheetFormatPr defaultRowHeight="15" x14ac:dyDescent="0.25"/>
  <cols>
    <col min="1" max="5" width="9.140625" style="37"/>
    <col min="6" max="6" width="8.28515625" style="37" bestFit="1" customWidth="1"/>
    <col min="7" max="7" width="14.7109375" style="37" bestFit="1" customWidth="1"/>
    <col min="8" max="8" width="24" style="37" bestFit="1" customWidth="1"/>
    <col min="9" max="9" width="9.85546875" style="37" bestFit="1" customWidth="1"/>
    <col min="10" max="10" width="8.42578125" style="37" bestFit="1" customWidth="1"/>
    <col min="11" max="11" width="6.42578125" style="37" customWidth="1"/>
    <col min="12" max="12" width="5.85546875" style="37" bestFit="1" customWidth="1"/>
    <col min="13" max="13" width="6.42578125" style="37" bestFit="1" customWidth="1"/>
    <col min="14" max="14" width="6.5703125" style="37" bestFit="1" customWidth="1"/>
    <col min="15" max="15" width="6.140625" style="37" bestFit="1" customWidth="1"/>
    <col min="16" max="16" width="6.85546875" style="37" bestFit="1" customWidth="1"/>
    <col min="17" max="17" width="6.140625" style="37" bestFit="1" customWidth="1"/>
    <col min="18" max="18" width="4.7109375" style="37" bestFit="1" customWidth="1"/>
    <col min="19" max="19" width="5.85546875" style="37" bestFit="1" customWidth="1"/>
    <col min="20" max="20" width="6.42578125" style="37" bestFit="1" customWidth="1"/>
    <col min="21" max="21" width="6.5703125" style="37" bestFit="1" customWidth="1"/>
    <col min="22" max="22" width="6.140625" style="37" bestFit="1" customWidth="1"/>
    <col min="23" max="23" width="6.85546875" style="37" bestFit="1" customWidth="1"/>
    <col min="24" max="24" width="6.140625" style="37" bestFit="1" customWidth="1"/>
    <col min="25" max="25" width="4.7109375" style="37" bestFit="1" customWidth="1"/>
    <col min="26" max="26" width="5.85546875" style="37" bestFit="1" customWidth="1"/>
    <col min="27" max="27" width="6.42578125" style="37" bestFit="1" customWidth="1"/>
    <col min="28" max="28" width="6.5703125" style="37" bestFit="1" customWidth="1"/>
    <col min="29" max="29" width="6.140625" style="37" bestFit="1" customWidth="1"/>
    <col min="30" max="30" width="6.85546875" style="37" bestFit="1" customWidth="1"/>
    <col min="31" max="31" width="6.140625" style="37" bestFit="1" customWidth="1"/>
    <col min="32" max="32" width="4.7109375" style="37" bestFit="1" customWidth="1"/>
    <col min="33" max="33" width="5.85546875" style="37" bestFit="1" customWidth="1"/>
    <col min="34" max="34" width="6.42578125" style="37" bestFit="1" customWidth="1"/>
    <col min="35" max="35" width="6.5703125" style="37" bestFit="1" customWidth="1"/>
    <col min="36" max="36" width="6.140625" style="37" bestFit="1" customWidth="1"/>
    <col min="37" max="37" width="6.85546875" style="37" bestFit="1" customWidth="1"/>
    <col min="38" max="38" width="6.140625" style="37" bestFit="1" customWidth="1"/>
    <col min="39" max="39" width="4.5703125" style="37" bestFit="1" customWidth="1"/>
    <col min="40" max="40" width="5.7109375" style="37" bestFit="1" customWidth="1"/>
    <col min="41" max="45" width="9.140625" style="37"/>
    <col min="46" max="47" width="15.140625" style="37" customWidth="1"/>
    <col min="48" max="48" width="21.5703125" style="37" bestFit="1" customWidth="1"/>
    <col min="49" max="49" width="9.85546875" style="37" customWidth="1"/>
    <col min="50" max="50" width="9.28515625" style="37" customWidth="1"/>
    <col min="51" max="51" width="8.42578125" style="37" customWidth="1"/>
    <col min="52" max="52" width="11.85546875" style="37" customWidth="1"/>
    <col min="53" max="53" width="7.7109375" style="37" customWidth="1"/>
    <col min="54" max="54" width="12" style="37" customWidth="1"/>
    <col min="55" max="55" width="14" style="37" customWidth="1"/>
    <col min="56" max="56" width="16.28515625" style="37" customWidth="1"/>
    <col min="57" max="57" width="12.5703125" style="37" bestFit="1" customWidth="1"/>
    <col min="58" max="58" width="13.7109375" style="37" customWidth="1"/>
    <col min="59" max="59" width="16.7109375" style="37" customWidth="1"/>
    <col min="60" max="16384" width="9.140625" style="37"/>
  </cols>
  <sheetData>
    <row r="1" spans="1:6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6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60" x14ac:dyDescent="0.25">
      <c r="A3"/>
      <c r="B3"/>
    </row>
    <row r="4" spans="1:60" x14ac:dyDescent="0.25">
      <c r="A4"/>
      <c r="B4"/>
      <c r="E4" s="39"/>
      <c r="F4" s="39" t="s">
        <v>41</v>
      </c>
      <c r="G4" s="40">
        <v>46357</v>
      </c>
      <c r="H4" s="41">
        <f>DATEDIF($G$4,$K$4,"D")+1</f>
        <v>31</v>
      </c>
      <c r="I4" s="39" t="str">
        <f>TEXT(G4,"MMMM")</f>
        <v>December</v>
      </c>
      <c r="J4" s="39" t="s">
        <v>42</v>
      </c>
      <c r="K4" s="40">
        <f>EOMONTH(G4,0)</f>
        <v>46387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60" ht="15.75" thickBot="1" x14ac:dyDescent="0.3">
      <c r="A5"/>
      <c r="B5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</row>
    <row r="6" spans="1:60" x14ac:dyDescent="0.25">
      <c r="A6"/>
      <c r="B6"/>
      <c r="E6" s="39"/>
      <c r="F6" s="46" t="s">
        <v>44</v>
      </c>
      <c r="G6" s="47"/>
      <c r="H6" s="48"/>
      <c r="I6" s="27" t="s">
        <v>43</v>
      </c>
      <c r="J6" s="28" t="str">
        <f>TEXT(J7,"DDD")</f>
        <v>Tue</v>
      </c>
      <c r="K6" s="28" t="str">
        <f t="shared" ref="K6:AN6" si="0">TEXT(K7,"DDD")</f>
        <v>Wed</v>
      </c>
      <c r="L6" s="28" t="str">
        <f t="shared" si="0"/>
        <v>Thu</v>
      </c>
      <c r="M6" s="28" t="str">
        <f t="shared" si="0"/>
        <v>Fri</v>
      </c>
      <c r="N6" s="28" t="str">
        <f t="shared" si="0"/>
        <v>Sat</v>
      </c>
      <c r="O6" s="28" t="str">
        <f t="shared" si="0"/>
        <v>Sun</v>
      </c>
      <c r="P6" s="28" t="str">
        <f t="shared" si="0"/>
        <v>Mon</v>
      </c>
      <c r="Q6" s="28" t="str">
        <f t="shared" si="0"/>
        <v>Tue</v>
      </c>
      <c r="R6" s="28" t="str">
        <f t="shared" si="0"/>
        <v>Wed</v>
      </c>
      <c r="S6" s="28" t="str">
        <f t="shared" si="0"/>
        <v>Thu</v>
      </c>
      <c r="T6" s="28" t="str">
        <f t="shared" si="0"/>
        <v>Fri</v>
      </c>
      <c r="U6" s="28" t="str">
        <f t="shared" si="0"/>
        <v>Sat</v>
      </c>
      <c r="V6" s="28" t="str">
        <f t="shared" si="0"/>
        <v>Sun</v>
      </c>
      <c r="W6" s="28" t="str">
        <f t="shared" si="0"/>
        <v>Mon</v>
      </c>
      <c r="X6" s="28" t="str">
        <f t="shared" si="0"/>
        <v>Tue</v>
      </c>
      <c r="Y6" s="28" t="str">
        <f t="shared" si="0"/>
        <v>Wed</v>
      </c>
      <c r="Z6" s="28" t="str">
        <f t="shared" si="0"/>
        <v>Thu</v>
      </c>
      <c r="AA6" s="28" t="str">
        <f t="shared" si="0"/>
        <v>Fri</v>
      </c>
      <c r="AB6" s="28" t="str">
        <f t="shared" si="0"/>
        <v>Sat</v>
      </c>
      <c r="AC6" s="28" t="str">
        <f t="shared" si="0"/>
        <v>Sun</v>
      </c>
      <c r="AD6" s="28" t="str">
        <f t="shared" si="0"/>
        <v>Mon</v>
      </c>
      <c r="AE6" s="28" t="str">
        <f t="shared" si="0"/>
        <v>Tue</v>
      </c>
      <c r="AF6" s="28" t="str">
        <f t="shared" si="0"/>
        <v>Wed</v>
      </c>
      <c r="AG6" s="28" t="str">
        <f t="shared" si="0"/>
        <v>Thu</v>
      </c>
      <c r="AH6" s="28" t="str">
        <f t="shared" si="0"/>
        <v>Fri</v>
      </c>
      <c r="AI6" s="28" t="str">
        <f t="shared" si="0"/>
        <v>Sat</v>
      </c>
      <c r="AJ6" s="28" t="str">
        <f t="shared" si="0"/>
        <v>Sun</v>
      </c>
      <c r="AK6" s="28" t="str">
        <f t="shared" si="0"/>
        <v>Mon</v>
      </c>
      <c r="AL6" s="28" t="str">
        <f t="shared" si="0"/>
        <v>Tue</v>
      </c>
      <c r="AM6" s="28" t="str">
        <f t="shared" si="0"/>
        <v>Wed</v>
      </c>
      <c r="AN6" s="29" t="str">
        <f t="shared" si="0"/>
        <v>Thu</v>
      </c>
      <c r="AO6" s="42" t="str">
        <f>IF(AN7 &lt; $K$4,AN7+1,"")</f>
        <v/>
      </c>
      <c r="AP6" s="38"/>
      <c r="AQ6" s="38"/>
      <c r="AR6" s="44"/>
      <c r="AS6" s="44"/>
      <c r="AT6" s="44"/>
      <c r="AU6" s="44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</row>
    <row r="7" spans="1:60" ht="15.75" thickBot="1" x14ac:dyDescent="0.3">
      <c r="A7"/>
      <c r="B7"/>
      <c r="E7" s="39"/>
      <c r="F7" s="30" t="s">
        <v>37</v>
      </c>
      <c r="G7" s="12" t="s">
        <v>38</v>
      </c>
      <c r="H7" s="13" t="s">
        <v>39</v>
      </c>
      <c r="I7" s="16" t="s">
        <v>40</v>
      </c>
      <c r="J7" s="17">
        <f>G4</f>
        <v>46357</v>
      </c>
      <c r="K7" s="17">
        <f t="shared" ref="K7:AN7" si="1">IF(J7 &lt; $K$4,J7+1,"")</f>
        <v>46358</v>
      </c>
      <c r="L7" s="17">
        <f t="shared" si="1"/>
        <v>46359</v>
      </c>
      <c r="M7" s="17">
        <f t="shared" si="1"/>
        <v>46360</v>
      </c>
      <c r="N7" s="17">
        <f t="shared" si="1"/>
        <v>46361</v>
      </c>
      <c r="O7" s="17">
        <f t="shared" si="1"/>
        <v>46362</v>
      </c>
      <c r="P7" s="17">
        <f t="shared" si="1"/>
        <v>46363</v>
      </c>
      <c r="Q7" s="17">
        <f t="shared" si="1"/>
        <v>46364</v>
      </c>
      <c r="R7" s="17">
        <f t="shared" si="1"/>
        <v>46365</v>
      </c>
      <c r="S7" s="17">
        <f t="shared" si="1"/>
        <v>46366</v>
      </c>
      <c r="T7" s="17">
        <f t="shared" si="1"/>
        <v>46367</v>
      </c>
      <c r="U7" s="17">
        <f t="shared" si="1"/>
        <v>46368</v>
      </c>
      <c r="V7" s="17">
        <f t="shared" si="1"/>
        <v>46369</v>
      </c>
      <c r="W7" s="17">
        <f t="shared" si="1"/>
        <v>46370</v>
      </c>
      <c r="X7" s="17">
        <f t="shared" si="1"/>
        <v>46371</v>
      </c>
      <c r="Y7" s="17">
        <f t="shared" si="1"/>
        <v>46372</v>
      </c>
      <c r="Z7" s="17">
        <f t="shared" si="1"/>
        <v>46373</v>
      </c>
      <c r="AA7" s="17">
        <f t="shared" si="1"/>
        <v>46374</v>
      </c>
      <c r="AB7" s="17">
        <f t="shared" si="1"/>
        <v>46375</v>
      </c>
      <c r="AC7" s="17">
        <f t="shared" si="1"/>
        <v>46376</v>
      </c>
      <c r="AD7" s="17">
        <f t="shared" si="1"/>
        <v>46377</v>
      </c>
      <c r="AE7" s="17">
        <f t="shared" si="1"/>
        <v>46378</v>
      </c>
      <c r="AF7" s="17">
        <f t="shared" si="1"/>
        <v>46379</v>
      </c>
      <c r="AG7" s="17">
        <f t="shared" si="1"/>
        <v>46380</v>
      </c>
      <c r="AH7" s="17">
        <f t="shared" si="1"/>
        <v>46381</v>
      </c>
      <c r="AI7" s="17">
        <f t="shared" si="1"/>
        <v>46382</v>
      </c>
      <c r="AJ7" s="17">
        <f t="shared" si="1"/>
        <v>46383</v>
      </c>
      <c r="AK7" s="17">
        <f t="shared" si="1"/>
        <v>46384</v>
      </c>
      <c r="AL7" s="17">
        <f t="shared" si="1"/>
        <v>46385</v>
      </c>
      <c r="AM7" s="17">
        <f t="shared" si="1"/>
        <v>46386</v>
      </c>
      <c r="AN7" s="31">
        <f t="shared" si="1"/>
        <v>46387</v>
      </c>
      <c r="AO7" s="39"/>
      <c r="AR7" s="43"/>
      <c r="AS7" s="18" t="s">
        <v>37</v>
      </c>
      <c r="AT7" s="18" t="s">
        <v>38</v>
      </c>
      <c r="AU7" s="18" t="s">
        <v>56</v>
      </c>
      <c r="AV7" s="19" t="s">
        <v>39</v>
      </c>
      <c r="AW7" s="18" t="s">
        <v>45</v>
      </c>
      <c r="AX7" s="18" t="s">
        <v>46</v>
      </c>
      <c r="AY7" s="18" t="s">
        <v>47</v>
      </c>
      <c r="AZ7" s="18" t="s">
        <v>48</v>
      </c>
      <c r="BA7" s="18" t="s">
        <v>49</v>
      </c>
      <c r="BB7" s="18" t="s">
        <v>50</v>
      </c>
      <c r="BC7" s="18" t="s">
        <v>51</v>
      </c>
      <c r="BD7" s="18" t="s">
        <v>52</v>
      </c>
      <c r="BE7" s="18" t="s">
        <v>53</v>
      </c>
      <c r="BF7" s="20" t="s">
        <v>54</v>
      </c>
      <c r="BG7" s="18" t="s">
        <v>55</v>
      </c>
      <c r="BH7" s="43"/>
    </row>
    <row r="8" spans="1:60" x14ac:dyDescent="0.25">
      <c r="A8"/>
      <c r="B8"/>
      <c r="E8" s="39"/>
      <c r="F8" s="24">
        <v>1</v>
      </c>
      <c r="G8" s="14" t="s">
        <v>20</v>
      </c>
      <c r="H8" s="10" t="s">
        <v>3</v>
      </c>
      <c r="I8" s="15">
        <f>COUNTIF($J$6:$AN$6,"sun")</f>
        <v>4</v>
      </c>
      <c r="J8" s="14" t="s">
        <v>57</v>
      </c>
      <c r="K8" s="14" t="s">
        <v>57</v>
      </c>
      <c r="L8" s="14" t="s">
        <v>57</v>
      </c>
      <c r="M8" s="14" t="s">
        <v>57</v>
      </c>
      <c r="N8" s="14" t="s">
        <v>57</v>
      </c>
      <c r="O8" s="14" t="str">
        <f t="shared" ref="K8:AN16" si="2">IF(O$6 = "sun","WO","")</f>
        <v>WO</v>
      </c>
      <c r="P8" s="14" t="s">
        <v>57</v>
      </c>
      <c r="Q8" s="14" t="s">
        <v>57</v>
      </c>
      <c r="R8" s="14" t="s">
        <v>57</v>
      </c>
      <c r="S8" s="14" t="s">
        <v>57</v>
      </c>
      <c r="T8" s="14" t="s">
        <v>57</v>
      </c>
      <c r="U8" s="14" t="s">
        <v>57</v>
      </c>
      <c r="V8" s="14" t="str">
        <f t="shared" si="2"/>
        <v>WO</v>
      </c>
      <c r="W8" s="14" t="s">
        <v>57</v>
      </c>
      <c r="X8" s="14" t="s">
        <v>57</v>
      </c>
      <c r="Y8" s="14" t="s">
        <v>57</v>
      </c>
      <c r="Z8" s="14" t="s">
        <v>57</v>
      </c>
      <c r="AA8" s="14" t="s">
        <v>57</v>
      </c>
      <c r="AB8" s="14" t="s">
        <v>57</v>
      </c>
      <c r="AC8" s="14" t="str">
        <f t="shared" si="2"/>
        <v>WO</v>
      </c>
      <c r="AD8" s="14" t="s">
        <v>57</v>
      </c>
      <c r="AE8" s="14" t="s">
        <v>57</v>
      </c>
      <c r="AF8" s="14" t="s">
        <v>57</v>
      </c>
      <c r="AG8" s="14" t="s">
        <v>57</v>
      </c>
      <c r="AH8" s="14" t="s">
        <v>58</v>
      </c>
      <c r="AI8" s="14" t="s">
        <v>57</v>
      </c>
      <c r="AJ8" s="14" t="str">
        <f t="shared" si="2"/>
        <v>WO</v>
      </c>
      <c r="AK8" s="14" t="s">
        <v>57</v>
      </c>
      <c r="AL8" s="14" t="s">
        <v>57</v>
      </c>
      <c r="AM8" s="14" t="s">
        <v>57</v>
      </c>
      <c r="AN8" s="32" t="s">
        <v>58</v>
      </c>
      <c r="AO8" s="39"/>
      <c r="AR8" s="43"/>
      <c r="AS8" s="22">
        <v>1</v>
      </c>
      <c r="AT8" s="14" t="s">
        <v>20</v>
      </c>
      <c r="AU8" s="14" t="str">
        <f t="shared" ref="AU8:AU24" si="3">$I$4</f>
        <v>December</v>
      </c>
      <c r="AV8" s="10" t="s">
        <v>3</v>
      </c>
      <c r="AW8" s="22">
        <f t="shared" ref="AW8:AW24" si="4">COUNTIF($J8:$AN8,"P")</f>
        <v>25</v>
      </c>
      <c r="AX8" s="22">
        <f t="shared" ref="AX8:AX24" si="5">COUNTIF($J8:$AN8,"A")</f>
        <v>0</v>
      </c>
      <c r="AY8" s="22">
        <f t="shared" ref="AY8:AY24" si="6">COUNTIF($J8:$AN8,"L")</f>
        <v>2</v>
      </c>
      <c r="AZ8" s="22">
        <f t="shared" ref="AZ8:AZ24" si="7">$I$8</f>
        <v>4</v>
      </c>
      <c r="BA8" s="22">
        <f t="shared" ref="BA8:BA24" si="8">$H$4</f>
        <v>31</v>
      </c>
      <c r="BB8" s="22">
        <f>JanMonthlyReport14[[#This Row],[Days]]-JanMonthlyReport14[[#This Row],[Absent]]</f>
        <v>31</v>
      </c>
      <c r="BC8" s="23">
        <v>100000</v>
      </c>
      <c r="BD8" s="23">
        <f>JanMonthlyReport14[[#This Row],[Basic Salary]]/JanMonthlyReport14[[#This Row],[Days]]</f>
        <v>3225.8064516129034</v>
      </c>
      <c r="BE8" s="23">
        <f>JanMonthlyReport14[[#This Row],[Per Day Salary]]*JanMonthlyReport14[[#This Row],[Absent]]</f>
        <v>0</v>
      </c>
      <c r="BF8" s="26">
        <f>JanMonthlyReport14[[#This Row],[Basic Salary]]-JanMonthlyReport14[[#This Row],[Deduction]]</f>
        <v>100000</v>
      </c>
      <c r="BG8" s="21"/>
      <c r="BH8" s="43"/>
    </row>
    <row r="9" spans="1:60" x14ac:dyDescent="0.25">
      <c r="A9"/>
      <c r="B9"/>
      <c r="E9" s="39"/>
      <c r="F9" s="24">
        <v>2</v>
      </c>
      <c r="G9" s="14" t="s">
        <v>21</v>
      </c>
      <c r="H9" s="10" t="s">
        <v>4</v>
      </c>
      <c r="I9" s="15">
        <f t="shared" ref="I9:I24" si="9">COUNTIF($J$6:$AN$6,"sun")</f>
        <v>4</v>
      </c>
      <c r="J9" s="14" t="s">
        <v>57</v>
      </c>
      <c r="K9" s="14" t="s">
        <v>57</v>
      </c>
      <c r="L9" s="14" t="s">
        <v>57</v>
      </c>
      <c r="M9" s="14" t="s">
        <v>57</v>
      </c>
      <c r="N9" s="14" t="s">
        <v>57</v>
      </c>
      <c r="O9" s="14" t="str">
        <f t="shared" si="2"/>
        <v>WO</v>
      </c>
      <c r="P9" s="14" t="s">
        <v>57</v>
      </c>
      <c r="Q9" s="14" t="s">
        <v>57</v>
      </c>
      <c r="R9" s="14" t="s">
        <v>57</v>
      </c>
      <c r="S9" s="14" t="s">
        <v>57</v>
      </c>
      <c r="T9" s="14" t="s">
        <v>57</v>
      </c>
      <c r="U9" s="14" t="s">
        <v>57</v>
      </c>
      <c r="V9" s="14" t="str">
        <f t="shared" si="2"/>
        <v>WO</v>
      </c>
      <c r="W9" s="14" t="s">
        <v>57</v>
      </c>
      <c r="X9" s="14" t="s">
        <v>57</v>
      </c>
      <c r="Y9" s="14" t="s">
        <v>57</v>
      </c>
      <c r="Z9" s="14" t="s">
        <v>57</v>
      </c>
      <c r="AA9" s="14" t="s">
        <v>57</v>
      </c>
      <c r="AB9" s="14" t="s">
        <v>57</v>
      </c>
      <c r="AC9" s="14" t="str">
        <f t="shared" si="2"/>
        <v>WO</v>
      </c>
      <c r="AD9" s="14" t="s">
        <v>57</v>
      </c>
      <c r="AE9" s="14" t="s">
        <v>57</v>
      </c>
      <c r="AF9" s="14" t="s">
        <v>57</v>
      </c>
      <c r="AG9" s="14" t="s">
        <v>57</v>
      </c>
      <c r="AH9" s="14" t="s">
        <v>58</v>
      </c>
      <c r="AI9" s="14" t="s">
        <v>57</v>
      </c>
      <c r="AJ9" s="14" t="str">
        <f t="shared" si="2"/>
        <v>WO</v>
      </c>
      <c r="AK9" s="14" t="s">
        <v>57</v>
      </c>
      <c r="AL9" s="14" t="s">
        <v>57</v>
      </c>
      <c r="AM9" s="14" t="s">
        <v>57</v>
      </c>
      <c r="AN9" s="32" t="s">
        <v>58</v>
      </c>
      <c r="AO9" s="39"/>
      <c r="AR9" s="43"/>
      <c r="AS9" s="22">
        <v>2</v>
      </c>
      <c r="AT9" s="14" t="s">
        <v>21</v>
      </c>
      <c r="AU9" s="14" t="str">
        <f t="shared" si="3"/>
        <v>December</v>
      </c>
      <c r="AV9" s="10" t="s">
        <v>4</v>
      </c>
      <c r="AW9" s="22">
        <f t="shared" si="4"/>
        <v>25</v>
      </c>
      <c r="AX9" s="22">
        <f t="shared" si="5"/>
        <v>0</v>
      </c>
      <c r="AY9" s="22">
        <f t="shared" si="6"/>
        <v>2</v>
      </c>
      <c r="AZ9" s="22">
        <f t="shared" si="7"/>
        <v>4</v>
      </c>
      <c r="BA9" s="22">
        <f t="shared" si="8"/>
        <v>31</v>
      </c>
      <c r="BB9" s="22">
        <f>JanMonthlyReport14[[#This Row],[Days]]-JanMonthlyReport14[[#This Row],[Absent]]</f>
        <v>31</v>
      </c>
      <c r="BC9" s="23">
        <v>70000</v>
      </c>
      <c r="BD9" s="23">
        <f>JanMonthlyReport14[[#This Row],[Basic Salary]]/JanMonthlyReport14[[#This Row],[Days]]</f>
        <v>2258.0645161290322</v>
      </c>
      <c r="BE9" s="23">
        <f>JanMonthlyReport14[[#This Row],[Per Day Salary]]*JanMonthlyReport14[[#This Row],[Absent]]</f>
        <v>0</v>
      </c>
      <c r="BF9" s="26">
        <f>JanMonthlyReport14[[#This Row],[Basic Salary]]-JanMonthlyReport14[[#This Row],[Deduction]]</f>
        <v>70000</v>
      </c>
      <c r="BG9" s="21"/>
      <c r="BH9" s="43"/>
    </row>
    <row r="10" spans="1:60" x14ac:dyDescent="0.25">
      <c r="A10"/>
      <c r="B10"/>
      <c r="E10" s="39"/>
      <c r="F10" s="24">
        <v>3</v>
      </c>
      <c r="G10" s="14" t="s">
        <v>22</v>
      </c>
      <c r="H10" s="10" t="s">
        <v>5</v>
      </c>
      <c r="I10" s="15">
        <f t="shared" si="9"/>
        <v>4</v>
      </c>
      <c r="J10" s="14" t="s">
        <v>57</v>
      </c>
      <c r="K10" s="14" t="s">
        <v>57</v>
      </c>
      <c r="L10" s="14" t="s">
        <v>57</v>
      </c>
      <c r="M10" s="14" t="s">
        <v>57</v>
      </c>
      <c r="N10" s="14" t="s">
        <v>57</v>
      </c>
      <c r="O10" s="14" t="str">
        <f t="shared" si="2"/>
        <v>WO</v>
      </c>
      <c r="P10" s="14" t="s">
        <v>57</v>
      </c>
      <c r="Q10" s="14" t="s">
        <v>57</v>
      </c>
      <c r="R10" s="14" t="s">
        <v>57</v>
      </c>
      <c r="S10" s="14" t="s">
        <v>57</v>
      </c>
      <c r="T10" s="14" t="s">
        <v>57</v>
      </c>
      <c r="U10" s="14" t="s">
        <v>57</v>
      </c>
      <c r="V10" s="14" t="str">
        <f t="shared" si="2"/>
        <v>WO</v>
      </c>
      <c r="W10" s="14" t="s">
        <v>57</v>
      </c>
      <c r="X10" s="14" t="s">
        <v>57</v>
      </c>
      <c r="Y10" s="14" t="s">
        <v>57</v>
      </c>
      <c r="Z10" s="14" t="s">
        <v>57</v>
      </c>
      <c r="AA10" s="14" t="s">
        <v>57</v>
      </c>
      <c r="AB10" s="14" t="s">
        <v>57</v>
      </c>
      <c r="AC10" s="14" t="str">
        <f t="shared" si="2"/>
        <v>WO</v>
      </c>
      <c r="AD10" s="14" t="s">
        <v>57</v>
      </c>
      <c r="AE10" s="14" t="s">
        <v>57</v>
      </c>
      <c r="AF10" s="14" t="s">
        <v>57</v>
      </c>
      <c r="AG10" s="14" t="s">
        <v>57</v>
      </c>
      <c r="AH10" s="14" t="s">
        <v>58</v>
      </c>
      <c r="AI10" s="14" t="s">
        <v>57</v>
      </c>
      <c r="AJ10" s="14" t="str">
        <f t="shared" si="2"/>
        <v>WO</v>
      </c>
      <c r="AK10" s="14" t="s">
        <v>57</v>
      </c>
      <c r="AL10" s="14" t="s">
        <v>57</v>
      </c>
      <c r="AM10" s="14" t="s">
        <v>57</v>
      </c>
      <c r="AN10" s="32" t="s">
        <v>58</v>
      </c>
      <c r="AO10" s="39"/>
      <c r="AR10" s="43"/>
      <c r="AS10" s="22">
        <v>3</v>
      </c>
      <c r="AT10" s="14" t="s">
        <v>22</v>
      </c>
      <c r="AU10" s="14" t="str">
        <f t="shared" si="3"/>
        <v>December</v>
      </c>
      <c r="AV10" s="10" t="s">
        <v>5</v>
      </c>
      <c r="AW10" s="22">
        <f t="shared" si="4"/>
        <v>25</v>
      </c>
      <c r="AX10" s="22">
        <f t="shared" si="5"/>
        <v>0</v>
      </c>
      <c r="AY10" s="22">
        <f t="shared" si="6"/>
        <v>2</v>
      </c>
      <c r="AZ10" s="22">
        <f t="shared" si="7"/>
        <v>4</v>
      </c>
      <c r="BA10" s="22">
        <f t="shared" si="8"/>
        <v>31</v>
      </c>
      <c r="BB10" s="22">
        <f>JanMonthlyReport14[[#This Row],[Days]]-JanMonthlyReport14[[#This Row],[Absent]]</f>
        <v>31</v>
      </c>
      <c r="BC10" s="23">
        <v>80000</v>
      </c>
      <c r="BD10" s="23">
        <f>JanMonthlyReport14[[#This Row],[Basic Salary]]/JanMonthlyReport14[[#This Row],[Days]]</f>
        <v>2580.6451612903224</v>
      </c>
      <c r="BE10" s="23">
        <f>JanMonthlyReport14[[#This Row],[Per Day Salary]]*JanMonthlyReport14[[#This Row],[Absent]]</f>
        <v>0</v>
      </c>
      <c r="BF10" s="26">
        <f>JanMonthlyReport14[[#This Row],[Basic Salary]]-JanMonthlyReport14[[#This Row],[Deduction]]</f>
        <v>80000</v>
      </c>
      <c r="BG10" s="21"/>
      <c r="BH10" s="43"/>
    </row>
    <row r="11" spans="1:60" x14ac:dyDescent="0.25">
      <c r="A11"/>
      <c r="B11"/>
      <c r="E11" s="39"/>
      <c r="F11" s="24">
        <v>4</v>
      </c>
      <c r="G11" s="14" t="s">
        <v>23</v>
      </c>
      <c r="H11" s="10" t="s">
        <v>6</v>
      </c>
      <c r="I11" s="15">
        <f t="shared" si="9"/>
        <v>4</v>
      </c>
      <c r="J11" s="14" t="s">
        <v>57</v>
      </c>
      <c r="K11" s="14" t="s">
        <v>57</v>
      </c>
      <c r="L11" s="14" t="s">
        <v>57</v>
      </c>
      <c r="M11" s="14" t="s">
        <v>57</v>
      </c>
      <c r="N11" s="14" t="s">
        <v>57</v>
      </c>
      <c r="O11" s="14" t="str">
        <f t="shared" si="2"/>
        <v>WO</v>
      </c>
      <c r="P11" s="14" t="s">
        <v>57</v>
      </c>
      <c r="Q11" s="14" t="s">
        <v>57</v>
      </c>
      <c r="R11" s="14" t="s">
        <v>59</v>
      </c>
      <c r="S11" s="14" t="s">
        <v>57</v>
      </c>
      <c r="T11" s="14" t="s">
        <v>57</v>
      </c>
      <c r="U11" s="14" t="s">
        <v>57</v>
      </c>
      <c r="V11" s="14" t="str">
        <f t="shared" si="2"/>
        <v>WO</v>
      </c>
      <c r="W11" s="14" t="s">
        <v>57</v>
      </c>
      <c r="X11" s="14" t="s">
        <v>59</v>
      </c>
      <c r="Y11" s="14" t="s">
        <v>57</v>
      </c>
      <c r="Z11" s="14" t="s">
        <v>57</v>
      </c>
      <c r="AA11" s="14" t="s">
        <v>57</v>
      </c>
      <c r="AB11" s="14" t="s">
        <v>57</v>
      </c>
      <c r="AC11" s="14" t="str">
        <f t="shared" si="2"/>
        <v>WO</v>
      </c>
      <c r="AD11" s="14" t="s">
        <v>57</v>
      </c>
      <c r="AE11" s="14" t="s">
        <v>57</v>
      </c>
      <c r="AF11" s="14" t="s">
        <v>57</v>
      </c>
      <c r="AG11" s="14" t="s">
        <v>57</v>
      </c>
      <c r="AH11" s="14" t="s">
        <v>58</v>
      </c>
      <c r="AI11" s="14" t="s">
        <v>57</v>
      </c>
      <c r="AJ11" s="14" t="str">
        <f t="shared" si="2"/>
        <v>WO</v>
      </c>
      <c r="AK11" s="14" t="s">
        <v>57</v>
      </c>
      <c r="AL11" s="14" t="s">
        <v>57</v>
      </c>
      <c r="AM11" s="14" t="s">
        <v>57</v>
      </c>
      <c r="AN11" s="32" t="s">
        <v>58</v>
      </c>
      <c r="AO11" s="39"/>
      <c r="AR11" s="43"/>
      <c r="AS11" s="22">
        <v>4</v>
      </c>
      <c r="AT11" s="14" t="s">
        <v>23</v>
      </c>
      <c r="AU11" s="14" t="str">
        <f t="shared" si="3"/>
        <v>December</v>
      </c>
      <c r="AV11" s="10" t="s">
        <v>6</v>
      </c>
      <c r="AW11" s="22">
        <f t="shared" si="4"/>
        <v>23</v>
      </c>
      <c r="AX11" s="22">
        <f t="shared" si="5"/>
        <v>2</v>
      </c>
      <c r="AY11" s="22">
        <f t="shared" si="6"/>
        <v>2</v>
      </c>
      <c r="AZ11" s="22">
        <f t="shared" si="7"/>
        <v>4</v>
      </c>
      <c r="BA11" s="22">
        <f t="shared" si="8"/>
        <v>31</v>
      </c>
      <c r="BB11" s="22">
        <f>JanMonthlyReport14[[#This Row],[Days]]-JanMonthlyReport14[[#This Row],[Absent]]</f>
        <v>29</v>
      </c>
      <c r="BC11" s="23">
        <v>75000</v>
      </c>
      <c r="BD11" s="23">
        <f>JanMonthlyReport14[[#This Row],[Basic Salary]]/JanMonthlyReport14[[#This Row],[Days]]</f>
        <v>2419.3548387096776</v>
      </c>
      <c r="BE11" s="23">
        <f>JanMonthlyReport14[[#This Row],[Per Day Salary]]*JanMonthlyReport14[[#This Row],[Absent]]</f>
        <v>4838.7096774193551</v>
      </c>
      <c r="BF11" s="26">
        <f>JanMonthlyReport14[[#This Row],[Basic Salary]]-JanMonthlyReport14[[#This Row],[Deduction]]</f>
        <v>70161.290322580651</v>
      </c>
      <c r="BG11" s="21"/>
      <c r="BH11" s="43"/>
    </row>
    <row r="12" spans="1:60" x14ac:dyDescent="0.25">
      <c r="A12"/>
      <c r="B12"/>
      <c r="E12" s="39"/>
      <c r="F12" s="24">
        <v>5</v>
      </c>
      <c r="G12" s="14" t="s">
        <v>24</v>
      </c>
      <c r="H12" s="10" t="s">
        <v>7</v>
      </c>
      <c r="I12" s="15">
        <f t="shared" si="9"/>
        <v>4</v>
      </c>
      <c r="J12" s="14" t="s">
        <v>57</v>
      </c>
      <c r="K12" s="14" t="s">
        <v>57</v>
      </c>
      <c r="L12" s="14" t="s">
        <v>57</v>
      </c>
      <c r="M12" s="14" t="s">
        <v>57</v>
      </c>
      <c r="N12" s="14" t="s">
        <v>57</v>
      </c>
      <c r="O12" s="14" t="str">
        <f t="shared" si="2"/>
        <v>WO</v>
      </c>
      <c r="P12" s="14" t="s">
        <v>57</v>
      </c>
      <c r="Q12" s="14" t="s">
        <v>57</v>
      </c>
      <c r="R12" s="14" t="s">
        <v>57</v>
      </c>
      <c r="S12" s="14" t="s">
        <v>57</v>
      </c>
      <c r="T12" s="14" t="s">
        <v>57</v>
      </c>
      <c r="U12" s="14" t="s">
        <v>57</v>
      </c>
      <c r="V12" s="14" t="str">
        <f t="shared" si="2"/>
        <v>WO</v>
      </c>
      <c r="W12" s="14" t="s">
        <v>57</v>
      </c>
      <c r="X12" s="14" t="s">
        <v>57</v>
      </c>
      <c r="Y12" s="14" t="s">
        <v>57</v>
      </c>
      <c r="Z12" s="14" t="s">
        <v>57</v>
      </c>
      <c r="AA12" s="14" t="s">
        <v>57</v>
      </c>
      <c r="AB12" s="14" t="s">
        <v>57</v>
      </c>
      <c r="AC12" s="14" t="str">
        <f t="shared" si="2"/>
        <v>WO</v>
      </c>
      <c r="AD12" s="14" t="s">
        <v>57</v>
      </c>
      <c r="AE12" s="14" t="s">
        <v>57</v>
      </c>
      <c r="AF12" s="14" t="s">
        <v>57</v>
      </c>
      <c r="AG12" s="14" t="s">
        <v>57</v>
      </c>
      <c r="AH12" s="14" t="s">
        <v>58</v>
      </c>
      <c r="AI12" s="14" t="s">
        <v>57</v>
      </c>
      <c r="AJ12" s="14" t="str">
        <f t="shared" si="2"/>
        <v>WO</v>
      </c>
      <c r="AK12" s="14" t="s">
        <v>57</v>
      </c>
      <c r="AL12" s="14" t="s">
        <v>57</v>
      </c>
      <c r="AM12" s="14" t="s">
        <v>57</v>
      </c>
      <c r="AN12" s="32" t="s">
        <v>58</v>
      </c>
      <c r="AO12" s="39"/>
      <c r="AR12" s="43"/>
      <c r="AS12" s="22">
        <v>5</v>
      </c>
      <c r="AT12" s="14" t="s">
        <v>24</v>
      </c>
      <c r="AU12" s="14" t="str">
        <f t="shared" si="3"/>
        <v>December</v>
      </c>
      <c r="AV12" s="10" t="s">
        <v>7</v>
      </c>
      <c r="AW12" s="22">
        <f t="shared" si="4"/>
        <v>25</v>
      </c>
      <c r="AX12" s="22">
        <f t="shared" si="5"/>
        <v>0</v>
      </c>
      <c r="AY12" s="22">
        <f t="shared" si="6"/>
        <v>2</v>
      </c>
      <c r="AZ12" s="22">
        <f t="shared" si="7"/>
        <v>4</v>
      </c>
      <c r="BA12" s="22">
        <f t="shared" si="8"/>
        <v>31</v>
      </c>
      <c r="BB12" s="22">
        <f>JanMonthlyReport14[[#This Row],[Days]]-JanMonthlyReport14[[#This Row],[Absent]]</f>
        <v>31</v>
      </c>
      <c r="BC12" s="23">
        <v>16000</v>
      </c>
      <c r="BD12" s="23">
        <f>JanMonthlyReport14[[#This Row],[Basic Salary]]/JanMonthlyReport14[[#This Row],[Days]]</f>
        <v>516.12903225806451</v>
      </c>
      <c r="BE12" s="23">
        <f>JanMonthlyReport14[[#This Row],[Per Day Salary]]*JanMonthlyReport14[[#This Row],[Absent]]</f>
        <v>0</v>
      </c>
      <c r="BF12" s="26">
        <f>JanMonthlyReport14[[#This Row],[Basic Salary]]-JanMonthlyReport14[[#This Row],[Deduction]]</f>
        <v>16000</v>
      </c>
      <c r="BG12" s="21"/>
      <c r="BH12" s="43"/>
    </row>
    <row r="13" spans="1:60" x14ac:dyDescent="0.25">
      <c r="A13"/>
      <c r="B13"/>
      <c r="E13" s="39"/>
      <c r="F13" s="24">
        <v>6</v>
      </c>
      <c r="G13" s="14" t="s">
        <v>25</v>
      </c>
      <c r="H13" s="10" t="s">
        <v>8</v>
      </c>
      <c r="I13" s="15">
        <f t="shared" si="9"/>
        <v>4</v>
      </c>
      <c r="J13" s="14" t="s">
        <v>57</v>
      </c>
      <c r="K13" s="14" t="s">
        <v>57</v>
      </c>
      <c r="L13" s="14" t="s">
        <v>57</v>
      </c>
      <c r="M13" s="14" t="s">
        <v>57</v>
      </c>
      <c r="N13" s="14" t="s">
        <v>59</v>
      </c>
      <c r="O13" s="14" t="str">
        <f t="shared" si="2"/>
        <v>WO</v>
      </c>
      <c r="P13" s="14" t="s">
        <v>57</v>
      </c>
      <c r="Q13" s="14" t="s">
        <v>57</v>
      </c>
      <c r="R13" s="14" t="s">
        <v>57</v>
      </c>
      <c r="S13" s="14" t="s">
        <v>57</v>
      </c>
      <c r="T13" s="14" t="s">
        <v>57</v>
      </c>
      <c r="U13" s="14" t="s">
        <v>57</v>
      </c>
      <c r="V13" s="14" t="str">
        <f t="shared" si="2"/>
        <v>WO</v>
      </c>
      <c r="W13" s="14" t="s">
        <v>57</v>
      </c>
      <c r="X13" s="14" t="s">
        <v>57</v>
      </c>
      <c r="Y13" s="14" t="s">
        <v>57</v>
      </c>
      <c r="Z13" s="14" t="s">
        <v>57</v>
      </c>
      <c r="AA13" s="14" t="s">
        <v>59</v>
      </c>
      <c r="AB13" s="14" t="s">
        <v>57</v>
      </c>
      <c r="AC13" s="14" t="str">
        <f t="shared" si="2"/>
        <v>WO</v>
      </c>
      <c r="AD13" s="14" t="s">
        <v>57</v>
      </c>
      <c r="AE13" s="14" t="s">
        <v>59</v>
      </c>
      <c r="AF13" s="14" t="s">
        <v>57</v>
      </c>
      <c r="AG13" s="14" t="s">
        <v>57</v>
      </c>
      <c r="AH13" s="14" t="s">
        <v>58</v>
      </c>
      <c r="AI13" s="14" t="s">
        <v>57</v>
      </c>
      <c r="AJ13" s="14" t="str">
        <f t="shared" si="2"/>
        <v>WO</v>
      </c>
      <c r="AK13" s="14" t="s">
        <v>57</v>
      </c>
      <c r="AL13" s="14" t="s">
        <v>57</v>
      </c>
      <c r="AM13" s="14" t="s">
        <v>57</v>
      </c>
      <c r="AN13" s="32" t="s">
        <v>58</v>
      </c>
      <c r="AO13" s="39"/>
      <c r="AR13" s="43"/>
      <c r="AS13" s="22">
        <v>6</v>
      </c>
      <c r="AT13" s="14" t="s">
        <v>25</v>
      </c>
      <c r="AU13" s="14" t="str">
        <f t="shared" si="3"/>
        <v>December</v>
      </c>
      <c r="AV13" s="10" t="s">
        <v>8</v>
      </c>
      <c r="AW13" s="22">
        <f t="shared" si="4"/>
        <v>22</v>
      </c>
      <c r="AX13" s="22">
        <f t="shared" si="5"/>
        <v>3</v>
      </c>
      <c r="AY13" s="22">
        <f t="shared" si="6"/>
        <v>2</v>
      </c>
      <c r="AZ13" s="22">
        <f t="shared" si="7"/>
        <v>4</v>
      </c>
      <c r="BA13" s="22">
        <f t="shared" si="8"/>
        <v>31</v>
      </c>
      <c r="BB13" s="22">
        <f>JanMonthlyReport14[[#This Row],[Days]]-JanMonthlyReport14[[#This Row],[Absent]]</f>
        <v>28</v>
      </c>
      <c r="BC13" s="23">
        <v>12000</v>
      </c>
      <c r="BD13" s="23">
        <f>JanMonthlyReport14[[#This Row],[Basic Salary]]/JanMonthlyReport14[[#This Row],[Days]]</f>
        <v>387.09677419354841</v>
      </c>
      <c r="BE13" s="23">
        <f>JanMonthlyReport14[[#This Row],[Per Day Salary]]*JanMonthlyReport14[[#This Row],[Absent]]</f>
        <v>1161.2903225806454</v>
      </c>
      <c r="BF13" s="26">
        <f>JanMonthlyReport14[[#This Row],[Basic Salary]]-JanMonthlyReport14[[#This Row],[Deduction]]</f>
        <v>10838.709677419354</v>
      </c>
      <c r="BG13" s="21"/>
      <c r="BH13" s="43"/>
    </row>
    <row r="14" spans="1:60" x14ac:dyDescent="0.25">
      <c r="A14"/>
      <c r="B14"/>
      <c r="E14" s="39"/>
      <c r="F14" s="24">
        <v>7</v>
      </c>
      <c r="G14" s="14" t="s">
        <v>26</v>
      </c>
      <c r="H14" s="10" t="s">
        <v>9</v>
      </c>
      <c r="I14" s="15">
        <f t="shared" si="9"/>
        <v>4</v>
      </c>
      <c r="J14" s="14" t="s">
        <v>57</v>
      </c>
      <c r="K14" s="14" t="s">
        <v>57</v>
      </c>
      <c r="L14" s="14" t="s">
        <v>57</v>
      </c>
      <c r="M14" s="14" t="s">
        <v>57</v>
      </c>
      <c r="N14" s="14" t="s">
        <v>57</v>
      </c>
      <c r="O14" s="14" t="str">
        <f t="shared" si="2"/>
        <v>WO</v>
      </c>
      <c r="P14" s="14" t="s">
        <v>57</v>
      </c>
      <c r="Q14" s="14" t="s">
        <v>57</v>
      </c>
      <c r="R14" s="14" t="s">
        <v>57</v>
      </c>
      <c r="S14" s="14" t="s">
        <v>59</v>
      </c>
      <c r="T14" s="14" t="s">
        <v>57</v>
      </c>
      <c r="U14" s="14" t="s">
        <v>57</v>
      </c>
      <c r="V14" s="14" t="str">
        <f t="shared" si="2"/>
        <v>WO</v>
      </c>
      <c r="W14" s="14" t="s">
        <v>57</v>
      </c>
      <c r="X14" s="14" t="s">
        <v>57</v>
      </c>
      <c r="Y14" s="14" t="s">
        <v>57</v>
      </c>
      <c r="Z14" s="14" t="s">
        <v>57</v>
      </c>
      <c r="AA14" s="14" t="s">
        <v>57</v>
      </c>
      <c r="AB14" s="14" t="s">
        <v>57</v>
      </c>
      <c r="AC14" s="14" t="str">
        <f t="shared" si="2"/>
        <v>WO</v>
      </c>
      <c r="AD14" s="14" t="s">
        <v>57</v>
      </c>
      <c r="AE14" s="14" t="s">
        <v>57</v>
      </c>
      <c r="AF14" s="14" t="s">
        <v>57</v>
      </c>
      <c r="AG14" s="14" t="s">
        <v>57</v>
      </c>
      <c r="AH14" s="14" t="s">
        <v>58</v>
      </c>
      <c r="AI14" s="14" t="s">
        <v>57</v>
      </c>
      <c r="AJ14" s="14" t="str">
        <f t="shared" si="2"/>
        <v>WO</v>
      </c>
      <c r="AK14" s="14" t="s">
        <v>57</v>
      </c>
      <c r="AL14" s="14" t="s">
        <v>57</v>
      </c>
      <c r="AM14" s="14" t="s">
        <v>57</v>
      </c>
      <c r="AN14" s="32" t="s">
        <v>58</v>
      </c>
      <c r="AO14" s="39"/>
      <c r="AR14" s="43"/>
      <c r="AS14" s="22">
        <v>7</v>
      </c>
      <c r="AT14" s="14" t="s">
        <v>26</v>
      </c>
      <c r="AU14" s="14" t="str">
        <f t="shared" si="3"/>
        <v>December</v>
      </c>
      <c r="AV14" s="10" t="s">
        <v>9</v>
      </c>
      <c r="AW14" s="22">
        <f t="shared" si="4"/>
        <v>24</v>
      </c>
      <c r="AX14" s="22">
        <f t="shared" si="5"/>
        <v>1</v>
      </c>
      <c r="AY14" s="22">
        <f t="shared" si="6"/>
        <v>2</v>
      </c>
      <c r="AZ14" s="22">
        <f t="shared" si="7"/>
        <v>4</v>
      </c>
      <c r="BA14" s="22">
        <f t="shared" si="8"/>
        <v>31</v>
      </c>
      <c r="BB14" s="22">
        <f>JanMonthlyReport14[[#This Row],[Days]]-JanMonthlyReport14[[#This Row],[Absent]]</f>
        <v>30</v>
      </c>
      <c r="BC14" s="23">
        <v>13000</v>
      </c>
      <c r="BD14" s="23">
        <f>JanMonthlyReport14[[#This Row],[Basic Salary]]/JanMonthlyReport14[[#This Row],[Days]]</f>
        <v>419.35483870967744</v>
      </c>
      <c r="BE14" s="23">
        <f>JanMonthlyReport14[[#This Row],[Per Day Salary]]*JanMonthlyReport14[[#This Row],[Absent]]</f>
        <v>419.35483870967744</v>
      </c>
      <c r="BF14" s="26">
        <f>JanMonthlyReport14[[#This Row],[Basic Salary]]-JanMonthlyReport14[[#This Row],[Deduction]]</f>
        <v>12580.645161290322</v>
      </c>
      <c r="BG14" s="21"/>
      <c r="BH14" s="43"/>
    </row>
    <row r="15" spans="1:60" x14ac:dyDescent="0.25">
      <c r="A15"/>
      <c r="B15"/>
      <c r="E15" s="39"/>
      <c r="F15" s="24">
        <v>8</v>
      </c>
      <c r="G15" s="14" t="s">
        <v>27</v>
      </c>
      <c r="H15" s="10" t="s">
        <v>11</v>
      </c>
      <c r="I15" s="15">
        <f t="shared" si="9"/>
        <v>4</v>
      </c>
      <c r="J15" s="14" t="s">
        <v>57</v>
      </c>
      <c r="K15" s="14" t="s">
        <v>57</v>
      </c>
      <c r="L15" s="14" t="s">
        <v>57</v>
      </c>
      <c r="M15" s="14" t="s">
        <v>57</v>
      </c>
      <c r="N15" s="14" t="s">
        <v>57</v>
      </c>
      <c r="O15" s="14" t="str">
        <f t="shared" si="2"/>
        <v>WO</v>
      </c>
      <c r="P15" s="14" t="s">
        <v>57</v>
      </c>
      <c r="Q15" s="14" t="s">
        <v>57</v>
      </c>
      <c r="R15" s="14" t="s">
        <v>57</v>
      </c>
      <c r="S15" s="14" t="s">
        <v>57</v>
      </c>
      <c r="T15" s="14" t="s">
        <v>57</v>
      </c>
      <c r="U15" s="14" t="s">
        <v>57</v>
      </c>
      <c r="V15" s="14" t="str">
        <f t="shared" si="2"/>
        <v>WO</v>
      </c>
      <c r="W15" s="14" t="s">
        <v>57</v>
      </c>
      <c r="X15" s="14" t="s">
        <v>57</v>
      </c>
      <c r="Y15" s="14" t="s">
        <v>57</v>
      </c>
      <c r="Z15" s="14" t="s">
        <v>57</v>
      </c>
      <c r="AA15" s="14" t="s">
        <v>57</v>
      </c>
      <c r="AB15" s="14" t="s">
        <v>57</v>
      </c>
      <c r="AC15" s="14" t="str">
        <f t="shared" si="2"/>
        <v>WO</v>
      </c>
      <c r="AD15" s="14" t="s">
        <v>57</v>
      </c>
      <c r="AE15" s="14" t="s">
        <v>57</v>
      </c>
      <c r="AF15" s="14" t="s">
        <v>57</v>
      </c>
      <c r="AG15" s="14" t="s">
        <v>57</v>
      </c>
      <c r="AH15" s="14" t="s">
        <v>58</v>
      </c>
      <c r="AI15" s="14" t="s">
        <v>57</v>
      </c>
      <c r="AJ15" s="14" t="str">
        <f t="shared" si="2"/>
        <v>WO</v>
      </c>
      <c r="AK15" s="14" t="s">
        <v>57</v>
      </c>
      <c r="AL15" s="14" t="s">
        <v>57</v>
      </c>
      <c r="AM15" s="14" t="s">
        <v>57</v>
      </c>
      <c r="AN15" s="32" t="s">
        <v>58</v>
      </c>
      <c r="AO15" s="39"/>
      <c r="AR15" s="43"/>
      <c r="AS15" s="22">
        <v>8</v>
      </c>
      <c r="AT15" s="14" t="s">
        <v>27</v>
      </c>
      <c r="AU15" s="14" t="str">
        <f t="shared" si="3"/>
        <v>December</v>
      </c>
      <c r="AV15" s="10" t="s">
        <v>11</v>
      </c>
      <c r="AW15" s="22">
        <f t="shared" si="4"/>
        <v>25</v>
      </c>
      <c r="AX15" s="22">
        <f t="shared" si="5"/>
        <v>0</v>
      </c>
      <c r="AY15" s="22">
        <f t="shared" si="6"/>
        <v>2</v>
      </c>
      <c r="AZ15" s="22">
        <f t="shared" si="7"/>
        <v>4</v>
      </c>
      <c r="BA15" s="22">
        <f t="shared" si="8"/>
        <v>31</v>
      </c>
      <c r="BB15" s="22">
        <f>JanMonthlyReport14[[#This Row],[Days]]-JanMonthlyReport14[[#This Row],[Absent]]</f>
        <v>31</v>
      </c>
      <c r="BC15" s="23">
        <v>8000</v>
      </c>
      <c r="BD15" s="23">
        <f>JanMonthlyReport14[[#This Row],[Basic Salary]]/JanMonthlyReport14[[#This Row],[Days]]</f>
        <v>258.06451612903226</v>
      </c>
      <c r="BE15" s="23">
        <f>JanMonthlyReport14[[#This Row],[Per Day Salary]]*JanMonthlyReport14[[#This Row],[Absent]]</f>
        <v>0</v>
      </c>
      <c r="BF15" s="26">
        <f>JanMonthlyReport14[[#This Row],[Basic Salary]]-JanMonthlyReport14[[#This Row],[Deduction]]</f>
        <v>8000</v>
      </c>
      <c r="BG15" s="21"/>
      <c r="BH15" s="43"/>
    </row>
    <row r="16" spans="1:60" x14ac:dyDescent="0.25">
      <c r="A16"/>
      <c r="B16"/>
      <c r="E16" s="39"/>
      <c r="F16" s="24">
        <v>9</v>
      </c>
      <c r="G16" s="14" t="s">
        <v>28</v>
      </c>
      <c r="H16" s="10" t="s">
        <v>10</v>
      </c>
      <c r="I16" s="15">
        <f t="shared" si="9"/>
        <v>4</v>
      </c>
      <c r="J16" s="14" t="s">
        <v>57</v>
      </c>
      <c r="K16" s="14" t="s">
        <v>57</v>
      </c>
      <c r="L16" s="14" t="s">
        <v>57</v>
      </c>
      <c r="M16" s="14" t="s">
        <v>57</v>
      </c>
      <c r="N16" s="14" t="s">
        <v>57</v>
      </c>
      <c r="O16" s="14" t="str">
        <f t="shared" si="2"/>
        <v>WO</v>
      </c>
      <c r="P16" s="14" t="s">
        <v>57</v>
      </c>
      <c r="Q16" s="14" t="s">
        <v>57</v>
      </c>
      <c r="R16" s="14" t="s">
        <v>57</v>
      </c>
      <c r="S16" s="14" t="s">
        <v>57</v>
      </c>
      <c r="T16" s="14" t="s">
        <v>57</v>
      </c>
      <c r="U16" s="14" t="s">
        <v>57</v>
      </c>
      <c r="V16" s="14" t="str">
        <f t="shared" si="2"/>
        <v>WO</v>
      </c>
      <c r="W16" s="14" t="s">
        <v>57</v>
      </c>
      <c r="X16" s="14" t="s">
        <v>57</v>
      </c>
      <c r="Y16" s="14" t="s">
        <v>57</v>
      </c>
      <c r="Z16" s="14" t="s">
        <v>57</v>
      </c>
      <c r="AA16" s="14" t="s">
        <v>57</v>
      </c>
      <c r="AB16" s="14" t="s">
        <v>57</v>
      </c>
      <c r="AC16" s="14" t="str">
        <f t="shared" ref="Z16:AN24" si="10">IF(AC$6 = "sun","WO","")</f>
        <v>WO</v>
      </c>
      <c r="AD16" s="14" t="s">
        <v>57</v>
      </c>
      <c r="AE16" s="14" t="s">
        <v>57</v>
      </c>
      <c r="AF16" s="14" t="s">
        <v>57</v>
      </c>
      <c r="AG16" s="14" t="s">
        <v>57</v>
      </c>
      <c r="AH16" s="14" t="s">
        <v>58</v>
      </c>
      <c r="AI16" s="14" t="s">
        <v>57</v>
      </c>
      <c r="AJ16" s="14" t="str">
        <f t="shared" si="10"/>
        <v>WO</v>
      </c>
      <c r="AK16" s="14" t="s">
        <v>57</v>
      </c>
      <c r="AL16" s="14" t="s">
        <v>57</v>
      </c>
      <c r="AM16" s="14" t="s">
        <v>57</v>
      </c>
      <c r="AN16" s="32" t="s">
        <v>58</v>
      </c>
      <c r="AO16" s="39"/>
      <c r="AR16" s="43"/>
      <c r="AS16" s="22">
        <v>9</v>
      </c>
      <c r="AT16" s="14" t="s">
        <v>28</v>
      </c>
      <c r="AU16" s="14" t="str">
        <f t="shared" si="3"/>
        <v>December</v>
      </c>
      <c r="AV16" s="10" t="s">
        <v>10</v>
      </c>
      <c r="AW16" s="22">
        <f t="shared" si="4"/>
        <v>25</v>
      </c>
      <c r="AX16" s="22">
        <f t="shared" si="5"/>
        <v>0</v>
      </c>
      <c r="AY16" s="22">
        <f t="shared" si="6"/>
        <v>2</v>
      </c>
      <c r="AZ16" s="22">
        <f t="shared" si="7"/>
        <v>4</v>
      </c>
      <c r="BA16" s="22">
        <f t="shared" si="8"/>
        <v>31</v>
      </c>
      <c r="BB16" s="22">
        <f>JanMonthlyReport14[[#This Row],[Days]]-JanMonthlyReport14[[#This Row],[Absent]]</f>
        <v>31</v>
      </c>
      <c r="BC16" s="23">
        <v>10000</v>
      </c>
      <c r="BD16" s="23">
        <f>JanMonthlyReport14[[#This Row],[Basic Salary]]/JanMonthlyReport14[[#This Row],[Days]]</f>
        <v>322.58064516129031</v>
      </c>
      <c r="BE16" s="23">
        <f>JanMonthlyReport14[[#This Row],[Per Day Salary]]*JanMonthlyReport14[[#This Row],[Absent]]</f>
        <v>0</v>
      </c>
      <c r="BF16" s="26">
        <f>JanMonthlyReport14[[#This Row],[Basic Salary]]-JanMonthlyReport14[[#This Row],[Deduction]]</f>
        <v>10000</v>
      </c>
      <c r="BG16" s="21"/>
      <c r="BH16" s="43"/>
    </row>
    <row r="17" spans="1:60" x14ac:dyDescent="0.25">
      <c r="A17"/>
      <c r="B17"/>
      <c r="E17" s="39"/>
      <c r="F17" s="24">
        <v>10</v>
      </c>
      <c r="G17" s="14" t="s">
        <v>29</v>
      </c>
      <c r="H17" s="10" t="s">
        <v>12</v>
      </c>
      <c r="I17" s="15">
        <f t="shared" si="9"/>
        <v>4</v>
      </c>
      <c r="J17" s="14" t="s">
        <v>57</v>
      </c>
      <c r="K17" s="14" t="s">
        <v>57</v>
      </c>
      <c r="L17" s="14" t="s">
        <v>57</v>
      </c>
      <c r="M17" s="14" t="s">
        <v>57</v>
      </c>
      <c r="N17" s="14" t="s">
        <v>57</v>
      </c>
      <c r="O17" s="14" t="str">
        <f t="shared" ref="J9:Y24" si="11">IF(O$6 = "sun","WO","")</f>
        <v>WO</v>
      </c>
      <c r="P17" s="14" t="s">
        <v>57</v>
      </c>
      <c r="Q17" s="14" t="s">
        <v>57</v>
      </c>
      <c r="R17" s="14" t="s">
        <v>57</v>
      </c>
      <c r="S17" s="14" t="s">
        <v>57</v>
      </c>
      <c r="T17" s="14" t="s">
        <v>57</v>
      </c>
      <c r="U17" s="14" t="s">
        <v>57</v>
      </c>
      <c r="V17" s="14" t="str">
        <f t="shared" si="11"/>
        <v>WO</v>
      </c>
      <c r="W17" s="14" t="s">
        <v>57</v>
      </c>
      <c r="X17" s="14" t="s">
        <v>57</v>
      </c>
      <c r="Y17" s="14" t="s">
        <v>57</v>
      </c>
      <c r="Z17" s="14" t="s">
        <v>57</v>
      </c>
      <c r="AA17" s="14" t="s">
        <v>57</v>
      </c>
      <c r="AB17" s="14" t="s">
        <v>57</v>
      </c>
      <c r="AC17" s="14" t="str">
        <f t="shared" si="10"/>
        <v>WO</v>
      </c>
      <c r="AD17" s="14" t="s">
        <v>57</v>
      </c>
      <c r="AE17" s="14" t="s">
        <v>57</v>
      </c>
      <c r="AF17" s="14" t="s">
        <v>57</v>
      </c>
      <c r="AG17" s="14" t="s">
        <v>57</v>
      </c>
      <c r="AH17" s="14" t="s">
        <v>58</v>
      </c>
      <c r="AI17" s="14" t="s">
        <v>57</v>
      </c>
      <c r="AJ17" s="14" t="str">
        <f t="shared" si="10"/>
        <v>WO</v>
      </c>
      <c r="AK17" s="14" t="s">
        <v>57</v>
      </c>
      <c r="AL17" s="14" t="s">
        <v>57</v>
      </c>
      <c r="AM17" s="14" t="s">
        <v>57</v>
      </c>
      <c r="AN17" s="32" t="s">
        <v>58</v>
      </c>
      <c r="AO17" s="39"/>
      <c r="AR17" s="43"/>
      <c r="AS17" s="22">
        <v>10</v>
      </c>
      <c r="AT17" s="14" t="s">
        <v>29</v>
      </c>
      <c r="AU17" s="14" t="str">
        <f t="shared" si="3"/>
        <v>December</v>
      </c>
      <c r="AV17" s="10" t="s">
        <v>12</v>
      </c>
      <c r="AW17" s="22">
        <f t="shared" si="4"/>
        <v>25</v>
      </c>
      <c r="AX17" s="22">
        <f t="shared" si="5"/>
        <v>0</v>
      </c>
      <c r="AY17" s="22">
        <f t="shared" si="6"/>
        <v>2</v>
      </c>
      <c r="AZ17" s="22">
        <f t="shared" si="7"/>
        <v>4</v>
      </c>
      <c r="BA17" s="22">
        <f t="shared" si="8"/>
        <v>31</v>
      </c>
      <c r="BB17" s="22">
        <f>JanMonthlyReport14[[#This Row],[Days]]-JanMonthlyReport14[[#This Row],[Absent]]</f>
        <v>31</v>
      </c>
      <c r="BC17" s="23">
        <v>13000</v>
      </c>
      <c r="BD17" s="23">
        <f>JanMonthlyReport14[[#This Row],[Basic Salary]]/JanMonthlyReport14[[#This Row],[Days]]</f>
        <v>419.35483870967744</v>
      </c>
      <c r="BE17" s="23">
        <f>JanMonthlyReport14[[#This Row],[Per Day Salary]]*JanMonthlyReport14[[#This Row],[Absent]]</f>
        <v>0</v>
      </c>
      <c r="BF17" s="26">
        <f>JanMonthlyReport14[[#This Row],[Basic Salary]]-JanMonthlyReport14[[#This Row],[Deduction]]</f>
        <v>13000</v>
      </c>
      <c r="BG17" s="21"/>
      <c r="BH17" s="43"/>
    </row>
    <row r="18" spans="1:60" x14ac:dyDescent="0.25">
      <c r="A18"/>
      <c r="B18"/>
      <c r="E18" s="39"/>
      <c r="F18" s="24">
        <v>11</v>
      </c>
      <c r="G18" s="14" t="s">
        <v>30</v>
      </c>
      <c r="H18" s="10" t="s">
        <v>13</v>
      </c>
      <c r="I18" s="15">
        <f t="shared" si="9"/>
        <v>4</v>
      </c>
      <c r="J18" s="14" t="s">
        <v>57</v>
      </c>
      <c r="K18" s="14" t="s">
        <v>57</v>
      </c>
      <c r="L18" s="14" t="s">
        <v>57</v>
      </c>
      <c r="M18" s="14" t="s">
        <v>57</v>
      </c>
      <c r="N18" s="14" t="s">
        <v>57</v>
      </c>
      <c r="O18" s="14" t="str">
        <f t="shared" si="11"/>
        <v>WO</v>
      </c>
      <c r="P18" s="14" t="s">
        <v>57</v>
      </c>
      <c r="Q18" s="14" t="s">
        <v>57</v>
      </c>
      <c r="R18" s="14" t="s">
        <v>57</v>
      </c>
      <c r="S18" s="14" t="s">
        <v>57</v>
      </c>
      <c r="T18" s="14" t="s">
        <v>57</v>
      </c>
      <c r="U18" s="14" t="s">
        <v>57</v>
      </c>
      <c r="V18" s="14" t="str">
        <f t="shared" si="11"/>
        <v>WO</v>
      </c>
      <c r="W18" s="14" t="s">
        <v>57</v>
      </c>
      <c r="X18" s="14" t="s">
        <v>59</v>
      </c>
      <c r="Y18" s="14" t="s">
        <v>57</v>
      </c>
      <c r="Z18" s="14" t="s">
        <v>57</v>
      </c>
      <c r="AA18" s="14" t="s">
        <v>57</v>
      </c>
      <c r="AB18" s="14" t="s">
        <v>57</v>
      </c>
      <c r="AC18" s="14" t="str">
        <f t="shared" si="10"/>
        <v>WO</v>
      </c>
      <c r="AD18" s="14" t="s">
        <v>57</v>
      </c>
      <c r="AE18" s="14" t="s">
        <v>57</v>
      </c>
      <c r="AF18" s="14" t="s">
        <v>57</v>
      </c>
      <c r="AG18" s="14" t="s">
        <v>57</v>
      </c>
      <c r="AH18" s="14" t="s">
        <v>58</v>
      </c>
      <c r="AI18" s="14" t="s">
        <v>57</v>
      </c>
      <c r="AJ18" s="14" t="str">
        <f t="shared" si="10"/>
        <v>WO</v>
      </c>
      <c r="AK18" s="14" t="s">
        <v>57</v>
      </c>
      <c r="AL18" s="14" t="s">
        <v>57</v>
      </c>
      <c r="AM18" s="14" t="s">
        <v>57</v>
      </c>
      <c r="AN18" s="32" t="s">
        <v>58</v>
      </c>
      <c r="AO18" s="39"/>
      <c r="AR18" s="43"/>
      <c r="AS18" s="22">
        <v>11</v>
      </c>
      <c r="AT18" s="14" t="s">
        <v>30</v>
      </c>
      <c r="AU18" s="14" t="str">
        <f t="shared" si="3"/>
        <v>December</v>
      </c>
      <c r="AV18" s="10" t="s">
        <v>13</v>
      </c>
      <c r="AW18" s="22">
        <f t="shared" si="4"/>
        <v>24</v>
      </c>
      <c r="AX18" s="22">
        <f t="shared" si="5"/>
        <v>1</v>
      </c>
      <c r="AY18" s="22">
        <f t="shared" si="6"/>
        <v>2</v>
      </c>
      <c r="AZ18" s="22">
        <f t="shared" si="7"/>
        <v>4</v>
      </c>
      <c r="BA18" s="22">
        <f t="shared" si="8"/>
        <v>31</v>
      </c>
      <c r="BB18" s="22">
        <f>JanMonthlyReport14[[#This Row],[Days]]-JanMonthlyReport14[[#This Row],[Absent]]</f>
        <v>30</v>
      </c>
      <c r="BC18" s="23">
        <v>10000</v>
      </c>
      <c r="BD18" s="23">
        <f>JanMonthlyReport14[[#This Row],[Basic Salary]]/JanMonthlyReport14[[#This Row],[Days]]</f>
        <v>322.58064516129031</v>
      </c>
      <c r="BE18" s="23">
        <f>JanMonthlyReport14[[#This Row],[Per Day Salary]]*JanMonthlyReport14[[#This Row],[Absent]]</f>
        <v>322.58064516129031</v>
      </c>
      <c r="BF18" s="26">
        <f>JanMonthlyReport14[[#This Row],[Basic Salary]]-JanMonthlyReport14[[#This Row],[Deduction]]</f>
        <v>9677.4193548387102</v>
      </c>
      <c r="BG18" s="21"/>
      <c r="BH18" s="43"/>
    </row>
    <row r="19" spans="1:60" x14ac:dyDescent="0.25">
      <c r="A19"/>
      <c r="B19"/>
      <c r="E19" s="39"/>
      <c r="F19" s="24">
        <v>12</v>
      </c>
      <c r="G19" s="14" t="s">
        <v>31</v>
      </c>
      <c r="H19" s="10" t="s">
        <v>14</v>
      </c>
      <c r="I19" s="15">
        <f t="shared" si="9"/>
        <v>4</v>
      </c>
      <c r="J19" s="14" t="s">
        <v>57</v>
      </c>
      <c r="K19" s="14" t="s">
        <v>57</v>
      </c>
      <c r="L19" s="14" t="s">
        <v>57</v>
      </c>
      <c r="M19" s="14" t="s">
        <v>57</v>
      </c>
      <c r="N19" s="14" t="s">
        <v>57</v>
      </c>
      <c r="O19" s="14" t="str">
        <f t="shared" si="11"/>
        <v>WO</v>
      </c>
      <c r="P19" s="14" t="s">
        <v>57</v>
      </c>
      <c r="Q19" s="14" t="s">
        <v>57</v>
      </c>
      <c r="R19" s="14" t="s">
        <v>59</v>
      </c>
      <c r="S19" s="14" t="s">
        <v>57</v>
      </c>
      <c r="T19" s="14" t="s">
        <v>57</v>
      </c>
      <c r="U19" s="14" t="s">
        <v>57</v>
      </c>
      <c r="V19" s="14" t="str">
        <f t="shared" si="11"/>
        <v>WO</v>
      </c>
      <c r="W19" s="14" t="s">
        <v>57</v>
      </c>
      <c r="X19" s="14" t="s">
        <v>57</v>
      </c>
      <c r="Y19" s="14" t="s">
        <v>57</v>
      </c>
      <c r="Z19" s="14" t="s">
        <v>57</v>
      </c>
      <c r="AA19" s="14" t="s">
        <v>57</v>
      </c>
      <c r="AB19" s="14" t="s">
        <v>57</v>
      </c>
      <c r="AC19" s="14" t="str">
        <f t="shared" si="10"/>
        <v>WO</v>
      </c>
      <c r="AD19" s="14" t="s">
        <v>57</v>
      </c>
      <c r="AE19" s="14" t="s">
        <v>57</v>
      </c>
      <c r="AF19" s="14" t="s">
        <v>57</v>
      </c>
      <c r="AG19" s="14" t="s">
        <v>57</v>
      </c>
      <c r="AH19" s="14" t="s">
        <v>58</v>
      </c>
      <c r="AI19" s="14" t="s">
        <v>57</v>
      </c>
      <c r="AJ19" s="14" t="str">
        <f t="shared" si="10"/>
        <v>WO</v>
      </c>
      <c r="AK19" s="14" t="s">
        <v>57</v>
      </c>
      <c r="AL19" s="14" t="s">
        <v>59</v>
      </c>
      <c r="AM19" s="14" t="s">
        <v>57</v>
      </c>
      <c r="AN19" s="32" t="s">
        <v>58</v>
      </c>
      <c r="AO19" s="39"/>
      <c r="AR19" s="43"/>
      <c r="AS19" s="22">
        <v>12</v>
      </c>
      <c r="AT19" s="14" t="s">
        <v>31</v>
      </c>
      <c r="AU19" s="14" t="str">
        <f t="shared" si="3"/>
        <v>December</v>
      </c>
      <c r="AV19" s="10" t="s">
        <v>14</v>
      </c>
      <c r="AW19" s="22">
        <f t="shared" si="4"/>
        <v>23</v>
      </c>
      <c r="AX19" s="22">
        <f t="shared" si="5"/>
        <v>2</v>
      </c>
      <c r="AY19" s="22">
        <f t="shared" si="6"/>
        <v>2</v>
      </c>
      <c r="AZ19" s="22">
        <f t="shared" si="7"/>
        <v>4</v>
      </c>
      <c r="BA19" s="22">
        <f t="shared" si="8"/>
        <v>31</v>
      </c>
      <c r="BB19" s="22">
        <f>JanMonthlyReport14[[#This Row],[Days]]-JanMonthlyReport14[[#This Row],[Absent]]</f>
        <v>29</v>
      </c>
      <c r="BC19" s="23">
        <v>9000</v>
      </c>
      <c r="BD19" s="23">
        <f>JanMonthlyReport14[[#This Row],[Basic Salary]]/JanMonthlyReport14[[#This Row],[Days]]</f>
        <v>290.32258064516128</v>
      </c>
      <c r="BE19" s="23">
        <f>JanMonthlyReport14[[#This Row],[Per Day Salary]]*JanMonthlyReport14[[#This Row],[Absent]]</f>
        <v>580.64516129032256</v>
      </c>
      <c r="BF19" s="26">
        <f>JanMonthlyReport14[[#This Row],[Basic Salary]]-JanMonthlyReport14[[#This Row],[Deduction]]</f>
        <v>8419.354838709678</v>
      </c>
      <c r="BG19" s="21"/>
      <c r="BH19" s="43"/>
    </row>
    <row r="20" spans="1:60" x14ac:dyDescent="0.25">
      <c r="A20"/>
      <c r="B20"/>
      <c r="E20" s="39"/>
      <c r="F20" s="24">
        <v>13</v>
      </c>
      <c r="G20" s="14" t="s">
        <v>32</v>
      </c>
      <c r="H20" s="10" t="s">
        <v>15</v>
      </c>
      <c r="I20" s="15">
        <f t="shared" si="9"/>
        <v>4</v>
      </c>
      <c r="J20" s="14" t="s">
        <v>57</v>
      </c>
      <c r="K20" s="14" t="s">
        <v>57</v>
      </c>
      <c r="L20" s="14" t="s">
        <v>57</v>
      </c>
      <c r="M20" s="14" t="s">
        <v>57</v>
      </c>
      <c r="N20" s="14" t="s">
        <v>57</v>
      </c>
      <c r="O20" s="14" t="str">
        <f t="shared" si="11"/>
        <v>WO</v>
      </c>
      <c r="P20" s="14" t="s">
        <v>57</v>
      </c>
      <c r="Q20" s="14" t="s">
        <v>57</v>
      </c>
      <c r="R20" s="14" t="s">
        <v>57</v>
      </c>
      <c r="S20" s="14" t="s">
        <v>57</v>
      </c>
      <c r="T20" s="14" t="s">
        <v>57</v>
      </c>
      <c r="U20" s="14" t="s">
        <v>57</v>
      </c>
      <c r="V20" s="14" t="str">
        <f t="shared" si="11"/>
        <v>WO</v>
      </c>
      <c r="W20" s="14" t="s">
        <v>57</v>
      </c>
      <c r="X20" s="14" t="s">
        <v>57</v>
      </c>
      <c r="Y20" s="14" t="s">
        <v>57</v>
      </c>
      <c r="Z20" s="14" t="s">
        <v>57</v>
      </c>
      <c r="AA20" s="14" t="s">
        <v>59</v>
      </c>
      <c r="AB20" s="14" t="s">
        <v>57</v>
      </c>
      <c r="AC20" s="14" t="str">
        <f t="shared" si="10"/>
        <v>WO</v>
      </c>
      <c r="AD20" s="14" t="s">
        <v>57</v>
      </c>
      <c r="AE20" s="14" t="s">
        <v>57</v>
      </c>
      <c r="AF20" s="14" t="s">
        <v>57</v>
      </c>
      <c r="AG20" s="14" t="s">
        <v>57</v>
      </c>
      <c r="AH20" s="14" t="s">
        <v>58</v>
      </c>
      <c r="AI20" s="14" t="s">
        <v>57</v>
      </c>
      <c r="AJ20" s="14" t="str">
        <f t="shared" si="10"/>
        <v>WO</v>
      </c>
      <c r="AK20" s="14" t="s">
        <v>57</v>
      </c>
      <c r="AL20" s="14" t="s">
        <v>57</v>
      </c>
      <c r="AM20" s="14" t="s">
        <v>57</v>
      </c>
      <c r="AN20" s="32" t="s">
        <v>58</v>
      </c>
      <c r="AO20" s="39"/>
      <c r="AR20" s="43"/>
      <c r="AS20" s="22">
        <v>13</v>
      </c>
      <c r="AT20" s="14" t="s">
        <v>32</v>
      </c>
      <c r="AU20" s="14" t="str">
        <f t="shared" si="3"/>
        <v>December</v>
      </c>
      <c r="AV20" s="10" t="s">
        <v>15</v>
      </c>
      <c r="AW20" s="22">
        <f t="shared" si="4"/>
        <v>24</v>
      </c>
      <c r="AX20" s="22">
        <f t="shared" si="5"/>
        <v>1</v>
      </c>
      <c r="AY20" s="22">
        <f t="shared" si="6"/>
        <v>2</v>
      </c>
      <c r="AZ20" s="22">
        <f t="shared" si="7"/>
        <v>4</v>
      </c>
      <c r="BA20" s="22">
        <f t="shared" si="8"/>
        <v>31</v>
      </c>
      <c r="BB20" s="22">
        <f>JanMonthlyReport14[[#This Row],[Days]]-JanMonthlyReport14[[#This Row],[Absent]]</f>
        <v>30</v>
      </c>
      <c r="BC20" s="23">
        <v>10000</v>
      </c>
      <c r="BD20" s="23">
        <f>JanMonthlyReport14[[#This Row],[Basic Salary]]/JanMonthlyReport14[[#This Row],[Days]]</f>
        <v>322.58064516129031</v>
      </c>
      <c r="BE20" s="23">
        <f>JanMonthlyReport14[[#This Row],[Per Day Salary]]*JanMonthlyReport14[[#This Row],[Absent]]</f>
        <v>322.58064516129031</v>
      </c>
      <c r="BF20" s="26">
        <f>JanMonthlyReport14[[#This Row],[Basic Salary]]-JanMonthlyReport14[[#This Row],[Deduction]]</f>
        <v>9677.4193548387102</v>
      </c>
      <c r="BG20" s="21"/>
      <c r="BH20" s="43"/>
    </row>
    <row r="21" spans="1:60" x14ac:dyDescent="0.25">
      <c r="A21"/>
      <c r="B21"/>
      <c r="E21" s="39"/>
      <c r="F21" s="24">
        <v>14</v>
      </c>
      <c r="G21" s="14" t="s">
        <v>33</v>
      </c>
      <c r="H21" s="10" t="s">
        <v>16</v>
      </c>
      <c r="I21" s="15">
        <f t="shared" si="9"/>
        <v>4</v>
      </c>
      <c r="J21" s="14" t="s">
        <v>57</v>
      </c>
      <c r="K21" s="14" t="s">
        <v>57</v>
      </c>
      <c r="L21" s="14" t="s">
        <v>57</v>
      </c>
      <c r="M21" s="14" t="s">
        <v>57</v>
      </c>
      <c r="N21" s="14" t="s">
        <v>57</v>
      </c>
      <c r="O21" s="14" t="str">
        <f t="shared" si="11"/>
        <v>WO</v>
      </c>
      <c r="P21" s="14" t="s">
        <v>57</v>
      </c>
      <c r="Q21" s="14" t="s">
        <v>57</v>
      </c>
      <c r="R21" s="14" t="s">
        <v>57</v>
      </c>
      <c r="S21" s="14" t="s">
        <v>57</v>
      </c>
      <c r="T21" s="14" t="s">
        <v>57</v>
      </c>
      <c r="U21" s="14" t="s">
        <v>57</v>
      </c>
      <c r="V21" s="14" t="str">
        <f t="shared" si="11"/>
        <v>WO</v>
      </c>
      <c r="W21" s="14" t="s">
        <v>57</v>
      </c>
      <c r="X21" s="14" t="s">
        <v>57</v>
      </c>
      <c r="Y21" s="14" t="s">
        <v>57</v>
      </c>
      <c r="Z21" s="14" t="s">
        <v>57</v>
      </c>
      <c r="AA21" s="14" t="s">
        <v>57</v>
      </c>
      <c r="AB21" s="14" t="s">
        <v>57</v>
      </c>
      <c r="AC21" s="14" t="str">
        <f t="shared" si="10"/>
        <v>WO</v>
      </c>
      <c r="AD21" s="14" t="s">
        <v>57</v>
      </c>
      <c r="AE21" s="14" t="s">
        <v>57</v>
      </c>
      <c r="AF21" s="14" t="s">
        <v>57</v>
      </c>
      <c r="AG21" s="14" t="s">
        <v>57</v>
      </c>
      <c r="AH21" s="14" t="s">
        <v>58</v>
      </c>
      <c r="AI21" s="14" t="s">
        <v>57</v>
      </c>
      <c r="AJ21" s="14" t="str">
        <f t="shared" si="10"/>
        <v>WO</v>
      </c>
      <c r="AK21" s="14" t="s">
        <v>57</v>
      </c>
      <c r="AL21" s="14" t="s">
        <v>57</v>
      </c>
      <c r="AM21" s="14" t="s">
        <v>57</v>
      </c>
      <c r="AN21" s="32" t="s">
        <v>58</v>
      </c>
      <c r="AO21" s="39"/>
      <c r="AR21" s="43"/>
      <c r="AS21" s="22">
        <v>14</v>
      </c>
      <c r="AT21" s="14" t="s">
        <v>33</v>
      </c>
      <c r="AU21" s="14" t="str">
        <f t="shared" si="3"/>
        <v>December</v>
      </c>
      <c r="AV21" s="10" t="s">
        <v>16</v>
      </c>
      <c r="AW21" s="22">
        <f t="shared" si="4"/>
        <v>25</v>
      </c>
      <c r="AX21" s="22">
        <f t="shared" si="5"/>
        <v>0</v>
      </c>
      <c r="AY21" s="22">
        <f t="shared" si="6"/>
        <v>2</v>
      </c>
      <c r="AZ21" s="22">
        <f t="shared" si="7"/>
        <v>4</v>
      </c>
      <c r="BA21" s="22">
        <f t="shared" si="8"/>
        <v>31</v>
      </c>
      <c r="BB21" s="22">
        <f>JanMonthlyReport14[[#This Row],[Days]]-JanMonthlyReport14[[#This Row],[Absent]]</f>
        <v>31</v>
      </c>
      <c r="BC21" s="23">
        <v>10000</v>
      </c>
      <c r="BD21" s="23">
        <f>JanMonthlyReport14[[#This Row],[Basic Salary]]/JanMonthlyReport14[[#This Row],[Days]]</f>
        <v>322.58064516129031</v>
      </c>
      <c r="BE21" s="23">
        <f>JanMonthlyReport14[[#This Row],[Per Day Salary]]*JanMonthlyReport14[[#This Row],[Absent]]</f>
        <v>0</v>
      </c>
      <c r="BF21" s="26">
        <f>JanMonthlyReport14[[#This Row],[Basic Salary]]-JanMonthlyReport14[[#This Row],[Deduction]]</f>
        <v>10000</v>
      </c>
      <c r="BG21" s="21"/>
      <c r="BH21" s="43"/>
    </row>
    <row r="22" spans="1:60" x14ac:dyDescent="0.25">
      <c r="A22"/>
      <c r="B22"/>
      <c r="E22" s="39"/>
      <c r="F22" s="24">
        <v>15</v>
      </c>
      <c r="G22" s="14" t="s">
        <v>34</v>
      </c>
      <c r="H22" s="10" t="s">
        <v>17</v>
      </c>
      <c r="I22" s="15">
        <f t="shared" si="9"/>
        <v>4</v>
      </c>
      <c r="J22" s="14" t="s">
        <v>57</v>
      </c>
      <c r="K22" s="14" t="s">
        <v>57</v>
      </c>
      <c r="L22" s="14" t="s">
        <v>57</v>
      </c>
      <c r="M22" s="14" t="s">
        <v>57</v>
      </c>
      <c r="N22" s="14" t="s">
        <v>57</v>
      </c>
      <c r="O22" s="14" t="str">
        <f t="shared" si="11"/>
        <v>WO</v>
      </c>
      <c r="P22" s="14" t="s">
        <v>57</v>
      </c>
      <c r="Q22" s="14" t="s">
        <v>57</v>
      </c>
      <c r="R22" s="14" t="s">
        <v>57</v>
      </c>
      <c r="S22" s="14" t="s">
        <v>57</v>
      </c>
      <c r="T22" s="14" t="s">
        <v>57</v>
      </c>
      <c r="U22" s="14" t="s">
        <v>57</v>
      </c>
      <c r="V22" s="14" t="str">
        <f t="shared" si="11"/>
        <v>WO</v>
      </c>
      <c r="W22" s="14" t="s">
        <v>57</v>
      </c>
      <c r="X22" s="14" t="s">
        <v>57</v>
      </c>
      <c r="Y22" s="14" t="s">
        <v>57</v>
      </c>
      <c r="Z22" s="14" t="s">
        <v>57</v>
      </c>
      <c r="AA22" s="14" t="s">
        <v>57</v>
      </c>
      <c r="AB22" s="14" t="s">
        <v>57</v>
      </c>
      <c r="AC22" s="14" t="str">
        <f t="shared" si="10"/>
        <v>WO</v>
      </c>
      <c r="AD22" s="14" t="s">
        <v>57</v>
      </c>
      <c r="AE22" s="14" t="s">
        <v>57</v>
      </c>
      <c r="AF22" s="14" t="s">
        <v>57</v>
      </c>
      <c r="AG22" s="14" t="s">
        <v>57</v>
      </c>
      <c r="AH22" s="14" t="s">
        <v>58</v>
      </c>
      <c r="AI22" s="14" t="s">
        <v>57</v>
      </c>
      <c r="AJ22" s="14" t="str">
        <f t="shared" si="10"/>
        <v>WO</v>
      </c>
      <c r="AK22" s="14" t="s">
        <v>57</v>
      </c>
      <c r="AL22" s="14" t="s">
        <v>57</v>
      </c>
      <c r="AM22" s="14" t="s">
        <v>57</v>
      </c>
      <c r="AN22" s="32" t="s">
        <v>58</v>
      </c>
      <c r="AO22" s="39"/>
      <c r="AR22" s="43"/>
      <c r="AS22" s="22">
        <v>15</v>
      </c>
      <c r="AT22" s="14" t="s">
        <v>34</v>
      </c>
      <c r="AU22" s="14" t="str">
        <f t="shared" si="3"/>
        <v>December</v>
      </c>
      <c r="AV22" s="10" t="s">
        <v>17</v>
      </c>
      <c r="AW22" s="22">
        <f t="shared" si="4"/>
        <v>25</v>
      </c>
      <c r="AX22" s="22">
        <f t="shared" si="5"/>
        <v>0</v>
      </c>
      <c r="AY22" s="22">
        <f t="shared" si="6"/>
        <v>2</v>
      </c>
      <c r="AZ22" s="22">
        <f t="shared" si="7"/>
        <v>4</v>
      </c>
      <c r="BA22" s="22">
        <f t="shared" si="8"/>
        <v>31</v>
      </c>
      <c r="BB22" s="22">
        <f>JanMonthlyReport14[[#This Row],[Days]]-JanMonthlyReport14[[#This Row],[Absent]]</f>
        <v>31</v>
      </c>
      <c r="BC22" s="23">
        <v>10000</v>
      </c>
      <c r="BD22" s="23">
        <f>JanMonthlyReport14[[#This Row],[Basic Salary]]/JanMonthlyReport14[[#This Row],[Days]]</f>
        <v>322.58064516129031</v>
      </c>
      <c r="BE22" s="23">
        <f>JanMonthlyReport14[[#This Row],[Per Day Salary]]*JanMonthlyReport14[[#This Row],[Absent]]</f>
        <v>0</v>
      </c>
      <c r="BF22" s="26">
        <f>JanMonthlyReport14[[#This Row],[Basic Salary]]-JanMonthlyReport14[[#This Row],[Deduction]]</f>
        <v>10000</v>
      </c>
      <c r="BG22" s="21"/>
      <c r="BH22" s="43"/>
    </row>
    <row r="23" spans="1:60" x14ac:dyDescent="0.25">
      <c r="A23"/>
      <c r="B23"/>
      <c r="E23" s="39"/>
      <c r="F23" s="24">
        <v>16</v>
      </c>
      <c r="G23" s="14" t="s">
        <v>35</v>
      </c>
      <c r="H23" s="10" t="s">
        <v>18</v>
      </c>
      <c r="I23" s="15">
        <f t="shared" si="9"/>
        <v>4</v>
      </c>
      <c r="J23" s="14" t="s">
        <v>57</v>
      </c>
      <c r="K23" s="14" t="s">
        <v>57</v>
      </c>
      <c r="L23" s="14" t="s">
        <v>57</v>
      </c>
      <c r="M23" s="14" t="s">
        <v>57</v>
      </c>
      <c r="N23" s="14" t="s">
        <v>57</v>
      </c>
      <c r="O23" s="14" t="str">
        <f t="shared" si="11"/>
        <v>WO</v>
      </c>
      <c r="P23" s="14" t="s">
        <v>57</v>
      </c>
      <c r="Q23" s="14" t="s">
        <v>57</v>
      </c>
      <c r="R23" s="14" t="s">
        <v>57</v>
      </c>
      <c r="S23" s="14" t="s">
        <v>57</v>
      </c>
      <c r="T23" s="14" t="s">
        <v>57</v>
      </c>
      <c r="U23" s="14" t="s">
        <v>57</v>
      </c>
      <c r="V23" s="14" t="str">
        <f t="shared" si="11"/>
        <v>WO</v>
      </c>
      <c r="W23" s="14" t="s">
        <v>57</v>
      </c>
      <c r="X23" s="14" t="s">
        <v>57</v>
      </c>
      <c r="Y23" s="14" t="s">
        <v>57</v>
      </c>
      <c r="Z23" s="14" t="s">
        <v>57</v>
      </c>
      <c r="AA23" s="14" t="s">
        <v>57</v>
      </c>
      <c r="AB23" s="14" t="s">
        <v>57</v>
      </c>
      <c r="AC23" s="14" t="str">
        <f t="shared" si="10"/>
        <v>WO</v>
      </c>
      <c r="AD23" s="14" t="s">
        <v>57</v>
      </c>
      <c r="AE23" s="14" t="s">
        <v>57</v>
      </c>
      <c r="AF23" s="14" t="s">
        <v>57</v>
      </c>
      <c r="AG23" s="14" t="s">
        <v>57</v>
      </c>
      <c r="AH23" s="14" t="s">
        <v>58</v>
      </c>
      <c r="AI23" s="14" t="s">
        <v>57</v>
      </c>
      <c r="AJ23" s="14" t="str">
        <f t="shared" si="10"/>
        <v>WO</v>
      </c>
      <c r="AK23" s="14" t="s">
        <v>57</v>
      </c>
      <c r="AL23" s="14" t="s">
        <v>57</v>
      </c>
      <c r="AM23" s="14" t="s">
        <v>57</v>
      </c>
      <c r="AN23" s="32" t="s">
        <v>58</v>
      </c>
      <c r="AO23" s="39"/>
      <c r="AR23" s="43"/>
      <c r="AS23" s="22">
        <v>16</v>
      </c>
      <c r="AT23" s="14" t="s">
        <v>35</v>
      </c>
      <c r="AU23" s="14" t="str">
        <f t="shared" si="3"/>
        <v>December</v>
      </c>
      <c r="AV23" s="10" t="s">
        <v>18</v>
      </c>
      <c r="AW23" s="22">
        <f t="shared" si="4"/>
        <v>25</v>
      </c>
      <c r="AX23" s="22">
        <f t="shared" si="5"/>
        <v>0</v>
      </c>
      <c r="AY23" s="22">
        <f t="shared" si="6"/>
        <v>2</v>
      </c>
      <c r="AZ23" s="22">
        <f t="shared" si="7"/>
        <v>4</v>
      </c>
      <c r="BA23" s="22">
        <f t="shared" si="8"/>
        <v>31</v>
      </c>
      <c r="BB23" s="22">
        <f>JanMonthlyReport14[[#This Row],[Days]]-JanMonthlyReport14[[#This Row],[Absent]]</f>
        <v>31</v>
      </c>
      <c r="BC23" s="23">
        <v>10000</v>
      </c>
      <c r="BD23" s="23">
        <f>JanMonthlyReport14[[#This Row],[Basic Salary]]/JanMonthlyReport14[[#This Row],[Days]]</f>
        <v>322.58064516129031</v>
      </c>
      <c r="BE23" s="23">
        <f>JanMonthlyReport14[[#This Row],[Per Day Salary]]*JanMonthlyReport14[[#This Row],[Absent]]</f>
        <v>0</v>
      </c>
      <c r="BF23" s="26">
        <f>JanMonthlyReport14[[#This Row],[Basic Salary]]-JanMonthlyReport14[[#This Row],[Deduction]]</f>
        <v>10000</v>
      </c>
      <c r="BG23" s="21"/>
      <c r="BH23" s="43"/>
    </row>
    <row r="24" spans="1:60" ht="15.75" thickBot="1" x14ac:dyDescent="0.3">
      <c r="A24"/>
      <c r="B24"/>
      <c r="E24" s="39"/>
      <c r="F24" s="25">
        <v>17</v>
      </c>
      <c r="G24" s="33" t="s">
        <v>36</v>
      </c>
      <c r="H24" s="34" t="s">
        <v>19</v>
      </c>
      <c r="I24" s="35">
        <f t="shared" si="9"/>
        <v>4</v>
      </c>
      <c r="J24" s="33" t="s">
        <v>57</v>
      </c>
      <c r="K24" s="33" t="s">
        <v>57</v>
      </c>
      <c r="L24" s="33" t="s">
        <v>57</v>
      </c>
      <c r="M24" s="33" t="s">
        <v>57</v>
      </c>
      <c r="N24" s="33" t="s">
        <v>57</v>
      </c>
      <c r="O24" s="33" t="str">
        <f t="shared" si="11"/>
        <v>WO</v>
      </c>
      <c r="P24" s="33" t="s">
        <v>57</v>
      </c>
      <c r="Q24" s="33" t="s">
        <v>57</v>
      </c>
      <c r="R24" s="33" t="s">
        <v>57</v>
      </c>
      <c r="S24" s="33" t="s">
        <v>57</v>
      </c>
      <c r="T24" s="33" t="s">
        <v>57</v>
      </c>
      <c r="U24" s="33" t="s">
        <v>57</v>
      </c>
      <c r="V24" s="33" t="str">
        <f t="shared" si="11"/>
        <v>WO</v>
      </c>
      <c r="W24" s="33" t="s">
        <v>57</v>
      </c>
      <c r="X24" s="33" t="s">
        <v>57</v>
      </c>
      <c r="Y24" s="33" t="s">
        <v>57</v>
      </c>
      <c r="Z24" s="33" t="s">
        <v>57</v>
      </c>
      <c r="AA24" s="33" t="s">
        <v>57</v>
      </c>
      <c r="AB24" s="33" t="s">
        <v>57</v>
      </c>
      <c r="AC24" s="33" t="str">
        <f t="shared" si="10"/>
        <v>WO</v>
      </c>
      <c r="AD24" s="33" t="s">
        <v>57</v>
      </c>
      <c r="AE24" s="33" t="s">
        <v>57</v>
      </c>
      <c r="AF24" s="33" t="s">
        <v>57</v>
      </c>
      <c r="AG24" s="33" t="s">
        <v>57</v>
      </c>
      <c r="AH24" s="33" t="s">
        <v>58</v>
      </c>
      <c r="AI24" s="33" t="s">
        <v>57</v>
      </c>
      <c r="AJ24" s="33" t="str">
        <f t="shared" si="10"/>
        <v>WO</v>
      </c>
      <c r="AK24" s="33" t="s">
        <v>57</v>
      </c>
      <c r="AL24" s="33" t="s">
        <v>57</v>
      </c>
      <c r="AM24" s="33" t="s">
        <v>57</v>
      </c>
      <c r="AN24" s="36" t="s">
        <v>58</v>
      </c>
      <c r="AO24" s="39"/>
      <c r="AR24" s="43"/>
      <c r="AS24" s="22">
        <v>17</v>
      </c>
      <c r="AT24" s="14" t="s">
        <v>36</v>
      </c>
      <c r="AU24" s="14" t="str">
        <f t="shared" si="3"/>
        <v>December</v>
      </c>
      <c r="AV24" s="10" t="s">
        <v>19</v>
      </c>
      <c r="AW24" s="22">
        <f t="shared" si="4"/>
        <v>25</v>
      </c>
      <c r="AX24" s="22">
        <f t="shared" si="5"/>
        <v>0</v>
      </c>
      <c r="AY24" s="22">
        <f t="shared" si="6"/>
        <v>2</v>
      </c>
      <c r="AZ24" s="22">
        <f t="shared" si="7"/>
        <v>4</v>
      </c>
      <c r="BA24" s="22">
        <f t="shared" si="8"/>
        <v>31</v>
      </c>
      <c r="BB24" s="22">
        <f>JanMonthlyReport14[[#This Row],[Days]]-JanMonthlyReport14[[#This Row],[Absent]]</f>
        <v>31</v>
      </c>
      <c r="BC24" s="23">
        <v>9000</v>
      </c>
      <c r="BD24" s="23">
        <f>JanMonthlyReport14[[#This Row],[Basic Salary]]/JanMonthlyReport14[[#This Row],[Days]]</f>
        <v>290.32258064516128</v>
      </c>
      <c r="BE24" s="23">
        <f>JanMonthlyReport14[[#This Row],[Per Day Salary]]*JanMonthlyReport14[[#This Row],[Absent]]</f>
        <v>0</v>
      </c>
      <c r="BF24" s="26">
        <f>JanMonthlyReport14[[#This Row],[Basic Salary]]-JanMonthlyReport14[[#This Row],[Deduction]]</f>
        <v>9000</v>
      </c>
      <c r="BG24" s="21"/>
      <c r="BH24" s="43"/>
    </row>
    <row r="25" spans="1:60" x14ac:dyDescent="0.25">
      <c r="A25"/>
      <c r="B25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</row>
    <row r="26" spans="1:60" x14ac:dyDescent="0.25">
      <c r="A26"/>
      <c r="B26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</row>
    <row r="27" spans="1:60" x14ac:dyDescent="0.25">
      <c r="A27"/>
      <c r="B27"/>
    </row>
    <row r="28" spans="1:60" x14ac:dyDescent="0.25">
      <c r="A28"/>
      <c r="B28"/>
    </row>
    <row r="29" spans="1:60" x14ac:dyDescent="0.25">
      <c r="A29"/>
      <c r="B29"/>
    </row>
    <row r="30" spans="1:60" x14ac:dyDescent="0.25">
      <c r="A30"/>
      <c r="B30"/>
    </row>
    <row r="31" spans="1:60" x14ac:dyDescent="0.25">
      <c r="A31"/>
      <c r="B31"/>
    </row>
    <row r="32" spans="1:60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</sheetData>
  <mergeCells count="1">
    <mergeCell ref="F6:H6"/>
  </mergeCells>
  <conditionalFormatting sqref="AQ7 O8:O24 V8:V24 AC8:AC24 AJ8:AJ24">
    <cfRule type="containsText" dxfId="367" priority="10" operator="containsText" text="WO">
      <formula>NOT(ISERROR(SEARCH("WO",O7)))</formula>
    </cfRule>
  </conditionalFormatting>
  <conditionalFormatting sqref="G4 I8:I24 O8:O24 V8:V24 AC8:AC24 AJ8:AJ24">
    <cfRule type="containsText" dxfId="366" priority="9" operator="containsText" text="WO">
      <formula>NOT(ISERROR(SEARCH("WO",G4)))</formula>
    </cfRule>
  </conditionalFormatting>
  <conditionalFormatting sqref="O8:O24 V8:V24 AC8:AC24 AJ8:AJ24">
    <cfRule type="containsText" dxfId="363" priority="6" operator="containsText" text="L">
      <formula>NOT(ISERROR(SEARCH("L",O8)))</formula>
    </cfRule>
    <cfRule type="containsText" dxfId="364" priority="7" operator="containsText" text="A">
      <formula>NOT(ISERROR(SEARCH("A",O8)))</formula>
    </cfRule>
    <cfRule type="containsText" dxfId="365" priority="8" operator="containsText" text="P">
      <formula>NOT(ISERROR(SEARCH("P",O8)))</formula>
    </cfRule>
  </conditionalFormatting>
  <conditionalFormatting sqref="AK8:AN24 AD8:AI24 W8:AB24 P8:U24 J8:N24">
    <cfRule type="containsText" dxfId="4" priority="5" operator="containsText" text="WO">
      <formula>NOT(ISERROR(SEARCH("WO",J8)))</formula>
    </cfRule>
  </conditionalFormatting>
  <conditionalFormatting sqref="AK8:AN24 AD8:AI24 W8:AB24 P8:U24 J8:N24">
    <cfRule type="containsText" dxfId="3" priority="4" operator="containsText" text="WO">
      <formula>NOT(ISERROR(SEARCH("WO",J8)))</formula>
    </cfRule>
  </conditionalFormatting>
  <conditionalFormatting sqref="AK8:AN24 AD8:AI24 W8:AB24 P8:U24 J8:N24">
    <cfRule type="containsText" dxfId="2" priority="1" operator="containsText" text="L">
      <formula>NOT(ISERROR(SEARCH("L",J8)))</formula>
    </cfRule>
    <cfRule type="containsText" dxfId="1" priority="2" operator="containsText" text="A">
      <formula>NOT(ISERROR(SEARCH("A",J8)))</formula>
    </cfRule>
    <cfRule type="containsText" dxfId="0" priority="3" operator="containsText" text="P">
      <formula>NOT(ISERROR(SEARCH("P",J8)))</formula>
    </cfRule>
  </conditionalFormatting>
  <dataValidations count="1">
    <dataValidation type="list" allowBlank="1" showInputMessage="1" showErrorMessage="1" sqref="J8:N24 P8:U24 W8:AB24 AD8:AI24 AK8:AN24" xr:uid="{56337ECA-D54B-43C7-A806-89398521AF0C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A0983A-5C05-4B60-A431-C094E07F539A}">
          <x14:formula1>
            <xm:f>Rough!$A$1:$A$12</xm:f>
          </x14:formula1>
          <xm:sqref>G4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6FF5985-950D-4516-838B-D44974C4134D}">
          <x14:colorSeries theme="7"/>
          <x14:colorNegative rgb="FFFF0000"/>
          <x14:colorAxis rgb="FF000000"/>
          <x14:colorMarkers rgb="FFD00000"/>
          <x14:colorFirst rgb="FFD00000"/>
          <x14:colorLast rgb="FFD00000"/>
          <x14:colorHigh rgb="FF2BF595"/>
          <x14:colorLow rgb="FFD00000"/>
          <x14:sparklines>
            <x14:sparkline>
              <xm:f>Dec!AW8:AY8</xm:f>
              <xm:sqref>BG8</xm:sqref>
            </x14:sparkline>
            <x14:sparkline>
              <xm:f>Dec!AW9:AY9</xm:f>
              <xm:sqref>BG9</xm:sqref>
            </x14:sparkline>
            <x14:sparkline>
              <xm:f>Dec!AW10:AY10</xm:f>
              <xm:sqref>BG10</xm:sqref>
            </x14:sparkline>
            <x14:sparkline>
              <xm:f>Dec!AW11:AY11</xm:f>
              <xm:sqref>BG11</xm:sqref>
            </x14:sparkline>
            <x14:sparkline>
              <xm:f>Dec!AW12:AY12</xm:f>
              <xm:sqref>BG12</xm:sqref>
            </x14:sparkline>
            <x14:sparkline>
              <xm:f>Dec!AW13:AY13</xm:f>
              <xm:sqref>BG13</xm:sqref>
            </x14:sparkline>
            <x14:sparkline>
              <xm:f>Dec!AW14:AY14</xm:f>
              <xm:sqref>BG14</xm:sqref>
            </x14:sparkline>
            <x14:sparkline>
              <xm:f>Dec!AW15:AY15</xm:f>
              <xm:sqref>BG15</xm:sqref>
            </x14:sparkline>
            <x14:sparkline>
              <xm:f>Dec!AW16:AY16</xm:f>
              <xm:sqref>BG16</xm:sqref>
            </x14:sparkline>
            <x14:sparkline>
              <xm:f>Dec!AW17:AY17</xm:f>
              <xm:sqref>BG17</xm:sqref>
            </x14:sparkline>
            <x14:sparkline>
              <xm:f>Dec!AW18:AY18</xm:f>
              <xm:sqref>BG18</xm:sqref>
            </x14:sparkline>
            <x14:sparkline>
              <xm:f>Dec!AW19:AY19</xm:f>
              <xm:sqref>BG19</xm:sqref>
            </x14:sparkline>
            <x14:sparkline>
              <xm:f>Dec!AW20:AY20</xm:f>
              <xm:sqref>BG20</xm:sqref>
            </x14:sparkline>
            <x14:sparkline>
              <xm:f>Dec!AW21:AY21</xm:f>
              <xm:sqref>BG21</xm:sqref>
            </x14:sparkline>
            <x14:sparkline>
              <xm:f>Dec!AW22:AY22</xm:f>
              <xm:sqref>BG22</xm:sqref>
            </x14:sparkline>
            <x14:sparkline>
              <xm:f>Dec!AW23:AY23</xm:f>
              <xm:sqref>BG23</xm:sqref>
            </x14:sparkline>
            <x14:sparkline>
              <xm:f>Dec!AW24:AY24</xm:f>
              <xm:sqref>BG24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DC81-27CE-470F-BE84-73E51A4A3A4E}">
  <dimension ref="A1:A12"/>
  <sheetViews>
    <sheetView workbookViewId="0">
      <selection activeCell="D5" sqref="D5"/>
    </sheetView>
  </sheetViews>
  <sheetFormatPr defaultRowHeight="15" x14ac:dyDescent="0.25"/>
  <cols>
    <col min="1" max="1" width="10.42578125" bestFit="1" customWidth="1"/>
  </cols>
  <sheetData>
    <row r="1" spans="1:1" x14ac:dyDescent="0.25">
      <c r="A1" s="11">
        <v>46023</v>
      </c>
    </row>
    <row r="2" spans="1:1" x14ac:dyDescent="0.25">
      <c r="A2" s="11">
        <v>46054</v>
      </c>
    </row>
    <row r="3" spans="1:1" x14ac:dyDescent="0.25">
      <c r="A3" s="11">
        <v>46082</v>
      </c>
    </row>
    <row r="4" spans="1:1" x14ac:dyDescent="0.25">
      <c r="A4" s="11">
        <v>46113</v>
      </c>
    </row>
    <row r="5" spans="1:1" x14ac:dyDescent="0.25">
      <c r="A5" s="11">
        <v>46143</v>
      </c>
    </row>
    <row r="6" spans="1:1" x14ac:dyDescent="0.25">
      <c r="A6" s="11">
        <v>46174</v>
      </c>
    </row>
    <row r="7" spans="1:1" x14ac:dyDescent="0.25">
      <c r="A7" s="11">
        <v>46204</v>
      </c>
    </row>
    <row r="8" spans="1:1" x14ac:dyDescent="0.25">
      <c r="A8" s="11">
        <v>46235</v>
      </c>
    </row>
    <row r="9" spans="1:1" x14ac:dyDescent="0.25">
      <c r="A9" s="11">
        <v>46266</v>
      </c>
    </row>
    <row r="10" spans="1:1" x14ac:dyDescent="0.25">
      <c r="A10" s="11">
        <v>46296</v>
      </c>
    </row>
    <row r="11" spans="1:1" x14ac:dyDescent="0.25">
      <c r="A11" s="11">
        <v>46327</v>
      </c>
    </row>
    <row r="12" spans="1:1" x14ac:dyDescent="0.25">
      <c r="A12" s="11">
        <v>46357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Jan</vt:lpstr>
      <vt:lpstr>Feb</vt:lpstr>
      <vt:lpstr>Mar</vt:lpstr>
      <vt:lpstr>April</vt:lpstr>
      <vt:lpstr>May</vt:lpstr>
      <vt:lpstr>Jun</vt:lpstr>
      <vt:lpstr>July</vt:lpstr>
      <vt:lpstr>Aug</vt:lpstr>
      <vt:lpstr>Sep</vt:lpstr>
      <vt:lpstr>Oct</vt:lpstr>
      <vt:lpstr>Nov</vt:lpstr>
      <vt:lpstr>Dec</vt:lpstr>
      <vt:lpstr>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S_P cop</dc:creator>
  <cp:lastModifiedBy>S_P cop</cp:lastModifiedBy>
  <dcterms:created xsi:type="dcterms:W3CDTF">2026-06-10T04:53:11Z</dcterms:created>
  <dcterms:modified xsi:type="dcterms:W3CDTF">2026-08-04T17:27:19Z</dcterms:modified>
</cp:coreProperties>
</file>